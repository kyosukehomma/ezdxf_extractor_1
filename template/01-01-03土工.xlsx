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tmp\oudan_validation.PpL5NO\"/>
    </mc:Choice>
  </mc:AlternateContent>
  <xr:revisionPtr revIDLastSave="0" documentId="13_ncr:1_{EC3631FD-C283-4243-B90F-6DFB65AA92E7}" xr6:coauthVersionLast="47" xr6:coauthVersionMax="47" xr10:uidLastSave="{00000000-0000-0000-0000-000000000000}"/>
  <bookViews>
    <workbookView xWindow="780" yWindow="780" windowWidth="28800" windowHeight="11295" tabRatio="905" firstSheet="1" activeTab="9" xr2:uid="{00000000-000D-0000-FFFF-FFFF00000000}"/>
  </bookViews>
  <sheets>
    <sheet name="集計表" sheetId="1" r:id="rId1"/>
    <sheet name="掘削" sheetId="2" r:id="rId2"/>
    <sheet name="路体" sheetId="3" r:id="rId3"/>
    <sheet name="路床" sheetId="4" r:id="rId4"/>
    <sheet name="路体外" sheetId="5" r:id="rId5"/>
    <sheet name="残土" sheetId="6" r:id="rId6"/>
    <sheet name="法面整形" sheetId="7" r:id="rId7"/>
    <sheet name="作業土工1" sheetId="8" r:id="rId8"/>
    <sheet name="作業土工2" sheetId="9" r:id="rId9"/>
    <sheet name="入力" sheetId="10" r:id="rId10"/>
    <sheet name="チェック" sheetId="11" r:id="rId11"/>
  </sheets>
  <definedNames>
    <definedName name="_1B" localSheetId="1">掘削!$C$6:$C$40</definedName>
    <definedName name="_1B" localSheetId="6">法面整形!$C$6:$C$39</definedName>
    <definedName name="_1B" localSheetId="3">路床!$C$6:$C$40</definedName>
    <definedName name="_1B" localSheetId="2">路体!$C$6:$C$40</definedName>
    <definedName name="_1B" localSheetId="4">路体外!$C$6:$C$40</definedName>
    <definedName name="_1F" localSheetId="1">掘削!$G$6:$G$40</definedName>
    <definedName name="_1F" localSheetId="6">法面整形!$G$6:$G$39</definedName>
    <definedName name="_1F" localSheetId="3">路床!$G$6:$G$40</definedName>
    <definedName name="_1F" localSheetId="2">路体!$G$6:$G$40</definedName>
    <definedName name="_1F" localSheetId="4">路体外!$G$6:$G$40</definedName>
    <definedName name="_1P" localSheetId="1">掘削!$B$1:$R$42</definedName>
    <definedName name="_1P" localSheetId="6">法面整形!$B$1:$R$41</definedName>
    <definedName name="_1P" localSheetId="3">路床!$B$1:$R$42</definedName>
    <definedName name="_1P" localSheetId="2">路体!$B$1:$T$42</definedName>
    <definedName name="_1P" localSheetId="4">路体外!$B$1:$R$42</definedName>
    <definedName name="_2B" localSheetId="1">掘削!$E$6:$E$40</definedName>
    <definedName name="_2B" localSheetId="6">法面整形!$E$6:$E$39</definedName>
    <definedName name="_2B" localSheetId="3">路床!$E$6:$E$40</definedName>
    <definedName name="_2B" localSheetId="2">路体!$E$6:$E$40</definedName>
    <definedName name="_2B" localSheetId="4">路体外!$E$6:$E$40</definedName>
    <definedName name="_2F" localSheetId="1">掘削!$J$6:$J$40</definedName>
    <definedName name="_2F" localSheetId="6">法面整形!$J$6:$J$39</definedName>
    <definedName name="_2F" localSheetId="3">路床!$J$6:$J$40</definedName>
    <definedName name="_2F" localSheetId="2">路体!$L$6:$L$40</definedName>
    <definedName name="_2F" localSheetId="4">路体外!$J$6:$J$40</definedName>
    <definedName name="_3F" localSheetId="1">掘削!$M$6:$M$40</definedName>
    <definedName name="_3F" localSheetId="6">法面整形!$M$6:$M$39</definedName>
    <definedName name="_3F" localSheetId="3">路床!$M$6:$M$40</definedName>
    <definedName name="_3F" localSheetId="2">路体!$O$6:$O$40</definedName>
    <definedName name="_3F" localSheetId="4">路体外!$M$6:$M$40</definedName>
    <definedName name="_4F" localSheetId="1">掘削!$P$6:$P$40</definedName>
    <definedName name="_4F" localSheetId="6">法面整形!$P$6:$P$39</definedName>
    <definedName name="_4F" localSheetId="3">路床!$P$6:$P$40</definedName>
    <definedName name="_4F" localSheetId="2">路体!$R$6:$R$40</definedName>
    <definedName name="_4F" localSheetId="4">路体外!$P$6:$P$40</definedName>
    <definedName name="_Fill" localSheetId="1">掘削!$C$7:$C$29</definedName>
    <definedName name="_Fill" localSheetId="6">法面整形!$C$7:$C$29</definedName>
    <definedName name="_Fill" localSheetId="3">路床!$C$7:$C$29</definedName>
    <definedName name="_Fill" localSheetId="2">路体!$C$7:$C$29</definedName>
    <definedName name="_Fill" localSheetId="4">路体外!$C$7:$C$29</definedName>
    <definedName name="_Regression_Int" localSheetId="1">1</definedName>
    <definedName name="_Regression_Int" localSheetId="9">1</definedName>
    <definedName name="_Regression_Int" localSheetId="6">1</definedName>
    <definedName name="_Regression_Int" localSheetId="3">1</definedName>
    <definedName name="_Regression_Int" localSheetId="2">1</definedName>
    <definedName name="_Regression_Int" localSheetId="4">1</definedName>
    <definedName name="AREA" localSheetId="1">掘削!$B$1:$R$42</definedName>
    <definedName name="AREA" localSheetId="6">法面整形!$B$1:$R$41</definedName>
    <definedName name="AREA" localSheetId="3">路床!$B$1:$R$42</definedName>
    <definedName name="AREA" localSheetId="2">路体!$B$1:$T$42</definedName>
    <definedName name="AREA" localSheetId="4">路体外!$B$1:$R$42</definedName>
    <definedName name="AREA1" localSheetId="1">掘削!$B$1:$R$42</definedName>
    <definedName name="AREA1" localSheetId="6">法面整形!$B$1:$R$41</definedName>
    <definedName name="AREA1" localSheetId="3">路床!$B$1:$R$42</definedName>
    <definedName name="AREA1" localSheetId="2">路体!$B$1:$T$42</definedName>
    <definedName name="AREA1" localSheetId="4">路体外!$B$1:$R$42</definedName>
    <definedName name="_xlnm.Print_Area" localSheetId="1">掘削!$B$1:$R$42</definedName>
    <definedName name="_xlnm.Print_Area" localSheetId="7">作業土工1!$B$1:$R$42</definedName>
    <definedName name="_xlnm.Print_Area" localSheetId="5">残土!$A$1:$I$30</definedName>
    <definedName name="_xlnm.Print_Area" localSheetId="6">法面整形!$B$1:$R$42</definedName>
    <definedName name="_xlnm.Print_Area" localSheetId="3">路床!$B$1:$R$42</definedName>
    <definedName name="_xlnm.Print_Area" localSheetId="2">路体!$B$1:$T$42</definedName>
    <definedName name="_xlnm.Print_Area" localSheetId="4">路体外!$B$1:$R$42</definedName>
    <definedName name="Print_Area_MI" localSheetId="1">掘削!$B$1:$R$42</definedName>
    <definedName name="Print_Area_MI" localSheetId="6">法面整形!$B$1:$R$41</definedName>
    <definedName name="Print_Area_MI" localSheetId="3">路床!$B$1:$R$42</definedName>
    <definedName name="Print_Area_MI" localSheetId="2">路体!$B$1:$T$42</definedName>
    <definedName name="Print_Area_MI" localSheetId="4">路体外!$B$1:$R$42</definedName>
    <definedName name="_xlnm.Print_Titles" localSheetId="0">集計表!$1:$4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1" l="1"/>
  <c r="C27" i="11"/>
  <c r="D26" i="11"/>
  <c r="C26" i="11"/>
  <c r="D25" i="11"/>
  <c r="C25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D13" i="11"/>
  <c r="C13" i="11"/>
  <c r="D11" i="11"/>
  <c r="C11" i="11"/>
  <c r="D10" i="11"/>
  <c r="C10" i="11"/>
  <c r="D9" i="11"/>
  <c r="C9" i="11"/>
  <c r="D5" i="11"/>
  <c r="C5" i="11"/>
  <c r="E4" i="11"/>
  <c r="C4" i="11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39" i="10"/>
  <c r="AI40" i="10"/>
  <c r="AI41" i="10"/>
  <c r="AI42" i="10"/>
  <c r="AI43" i="10"/>
  <c r="AI44" i="10"/>
  <c r="AI45" i="10"/>
  <c r="AI46" i="10"/>
  <c r="AI47" i="10"/>
  <c r="AI48" i="10"/>
  <c r="AI49" i="10"/>
  <c r="AI50" i="10"/>
  <c r="AI51" i="10"/>
  <c r="AI52" i="10"/>
  <c r="AI53" i="10"/>
  <c r="AI54" i="10"/>
  <c r="AI55" i="10"/>
  <c r="AI56" i="10"/>
  <c r="AI57" i="10"/>
  <c r="AI58" i="10"/>
  <c r="AI59" i="10"/>
  <c r="AI60" i="10"/>
  <c r="AI61" i="10"/>
  <c r="AI62" i="10"/>
  <c r="AI63" i="10"/>
  <c r="AI64" i="10"/>
  <c r="AI65" i="10"/>
  <c r="AI66" i="10"/>
  <c r="AI67" i="10"/>
  <c r="AI68" i="10"/>
  <c r="AI69" i="10"/>
  <c r="AI70" i="10"/>
  <c r="AI71" i="10"/>
  <c r="AI72" i="10"/>
  <c r="AI73" i="10"/>
  <c r="AI74" i="10"/>
  <c r="AI75" i="10"/>
  <c r="AI76" i="10"/>
  <c r="AI77" i="10"/>
  <c r="AI78" i="10"/>
  <c r="AI79" i="10"/>
  <c r="AI80" i="10"/>
  <c r="AI81" i="10"/>
  <c r="AI82" i="10"/>
  <c r="AI83" i="10"/>
  <c r="AI84" i="10"/>
  <c r="AI85" i="10"/>
  <c r="AI86" i="10"/>
  <c r="AI87" i="10"/>
  <c r="AI88" i="10"/>
  <c r="AI89" i="10"/>
  <c r="AI90" i="10"/>
  <c r="AI91" i="10"/>
  <c r="AI92" i="10"/>
  <c r="AI93" i="10"/>
  <c r="AI94" i="10"/>
  <c r="AI95" i="10"/>
  <c r="AI96" i="10"/>
  <c r="AI97" i="10"/>
  <c r="AI98" i="10"/>
  <c r="AI99" i="10"/>
  <c r="AI100" i="10"/>
  <c r="AI101" i="10"/>
  <c r="AI102" i="10"/>
  <c r="AI103" i="10"/>
  <c r="AI104" i="10"/>
  <c r="AI105" i="10"/>
  <c r="AI106" i="10"/>
  <c r="AI107" i="10"/>
  <c r="AI108" i="10"/>
  <c r="AI109" i="10"/>
  <c r="AI110" i="10"/>
  <c r="AI111" i="10"/>
  <c r="AI112" i="10"/>
  <c r="AI113" i="10"/>
  <c r="AI114" i="10"/>
  <c r="AI115" i="10"/>
  <c r="AI116" i="10"/>
  <c r="AI117" i="10"/>
  <c r="AI118" i="10"/>
  <c r="AI119" i="10"/>
  <c r="AI120" i="10"/>
  <c r="AI121" i="10"/>
  <c r="AI122" i="10"/>
  <c r="AI123" i="10"/>
  <c r="AI124" i="10"/>
  <c r="AI125" i="10"/>
  <c r="AI126" i="10"/>
  <c r="AI127" i="10"/>
  <c r="AI128" i="10"/>
  <c r="AI129" i="10"/>
  <c r="AI130" i="10"/>
  <c r="AI131" i="10"/>
  <c r="AI132" i="10"/>
  <c r="AI133" i="10"/>
  <c r="AI134" i="10"/>
  <c r="AI135" i="10"/>
  <c r="AI136" i="10"/>
  <c r="AI137" i="10"/>
  <c r="AI138" i="10"/>
  <c r="AI139" i="10"/>
  <c r="AI140" i="10"/>
  <c r="AI141" i="10"/>
  <c r="AI142" i="10"/>
  <c r="AI143" i="10"/>
  <c r="AI144" i="10"/>
  <c r="AI145" i="10"/>
  <c r="AI146" i="10"/>
  <c r="AI147" i="10"/>
  <c r="AI148" i="10"/>
  <c r="AI149" i="10"/>
  <c r="AI150" i="10"/>
  <c r="AI151" i="10"/>
  <c r="AI152" i="10"/>
  <c r="AI153" i="10"/>
  <c r="AI154" i="10"/>
  <c r="AI155" i="10"/>
  <c r="AI156" i="10"/>
  <c r="AI157" i="10"/>
  <c r="AI158" i="10"/>
  <c r="AI159" i="10"/>
  <c r="AI160" i="10"/>
  <c r="AI161" i="10"/>
  <c r="AI162" i="10"/>
  <c r="AI163" i="10"/>
  <c r="AI164" i="10"/>
  <c r="AI165" i="10"/>
  <c r="AI166" i="10"/>
  <c r="AI167" i="10"/>
  <c r="AI168" i="10"/>
  <c r="AI169" i="10"/>
  <c r="AI170" i="10"/>
  <c r="AI171" i="10"/>
  <c r="AI172" i="10"/>
  <c r="AI173" i="10"/>
  <c r="AI174" i="10"/>
  <c r="AI175" i="10"/>
  <c r="AI176" i="10"/>
  <c r="AI177" i="10"/>
  <c r="AI178" i="10"/>
  <c r="AI179" i="10"/>
  <c r="AI180" i="10"/>
  <c r="AI181" i="10"/>
  <c r="AI182" i="10"/>
  <c r="AI183" i="10"/>
  <c r="AI184" i="10"/>
  <c r="AI185" i="10"/>
  <c r="AI186" i="10"/>
  <c r="AI187" i="10"/>
  <c r="AI188" i="10"/>
  <c r="AI189" i="10"/>
  <c r="AI190" i="10"/>
  <c r="AI191" i="10"/>
  <c r="AI192" i="10"/>
  <c r="AI193" i="10"/>
  <c r="AI194" i="10"/>
  <c r="AI195" i="10"/>
  <c r="AI196" i="10"/>
  <c r="AI197" i="10"/>
  <c r="AI198" i="10"/>
  <c r="AI199" i="10"/>
  <c r="AI200" i="10"/>
  <c r="AI201" i="10"/>
  <c r="AI202" i="10"/>
  <c r="AI203" i="10"/>
  <c r="AI204" i="10"/>
  <c r="AI205" i="10"/>
  <c r="AI206" i="10"/>
  <c r="AI207" i="10"/>
  <c r="AI208" i="10"/>
  <c r="AI209" i="10"/>
  <c r="AI210" i="10"/>
  <c r="AI211" i="10"/>
  <c r="AI212" i="10"/>
  <c r="AI213" i="10"/>
  <c r="AI214" i="10"/>
  <c r="AI215" i="10"/>
  <c r="AI216" i="10"/>
  <c r="AI217" i="10"/>
  <c r="AI218" i="10"/>
  <c r="AI5" i="10"/>
  <c r="AH6" i="10"/>
  <c r="AH7" i="10"/>
  <c r="AH8" i="10"/>
  <c r="AH9" i="10"/>
  <c r="AH10" i="10"/>
  <c r="AH11" i="10"/>
  <c r="AH12" i="10"/>
  <c r="AH13" i="10"/>
  <c r="AH14" i="10"/>
  <c r="AH15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29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H79" i="10"/>
  <c r="AH80" i="10"/>
  <c r="AH81" i="10"/>
  <c r="AH82" i="10"/>
  <c r="AH83" i="10"/>
  <c r="AH84" i="10"/>
  <c r="AH85" i="10"/>
  <c r="AH86" i="10"/>
  <c r="AH87" i="10"/>
  <c r="AH88" i="10"/>
  <c r="AH89" i="10"/>
  <c r="AH90" i="10"/>
  <c r="AH91" i="10"/>
  <c r="AH92" i="10"/>
  <c r="AH93" i="10"/>
  <c r="AH94" i="10"/>
  <c r="AH95" i="10"/>
  <c r="AH96" i="10"/>
  <c r="AH97" i="10"/>
  <c r="AH98" i="10"/>
  <c r="AH99" i="10"/>
  <c r="AH100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201" i="10"/>
  <c r="AH202" i="10"/>
  <c r="AH203" i="10"/>
  <c r="AH204" i="10"/>
  <c r="AH205" i="10"/>
  <c r="AH206" i="10"/>
  <c r="AH207" i="10"/>
  <c r="AH208" i="10"/>
  <c r="AH209" i="10"/>
  <c r="AH210" i="10"/>
  <c r="AH211" i="10"/>
  <c r="AH212" i="10"/>
  <c r="AH213" i="10"/>
  <c r="AH214" i="10"/>
  <c r="AH215" i="10"/>
  <c r="AH216" i="10"/>
  <c r="AH217" i="10"/>
  <c r="AH218" i="10"/>
  <c r="AH5" i="10"/>
  <c r="AG6" i="10"/>
  <c r="AG7" i="10"/>
  <c r="AG8" i="10"/>
  <c r="AG9" i="10"/>
  <c r="AG10" i="10"/>
  <c r="AG11" i="10"/>
  <c r="AG12" i="10"/>
  <c r="AG13" i="10"/>
  <c r="AG14" i="10"/>
  <c r="AG15" i="10"/>
  <c r="AG16" i="10"/>
  <c r="AG17" i="10"/>
  <c r="AG18" i="10"/>
  <c r="AG19" i="10"/>
  <c r="AG20" i="10"/>
  <c r="AG21" i="10"/>
  <c r="AG22" i="10"/>
  <c r="AG23" i="10"/>
  <c r="AG24" i="10"/>
  <c r="AG25" i="10"/>
  <c r="AG26" i="10"/>
  <c r="AG27" i="10"/>
  <c r="AG28" i="10"/>
  <c r="AG29" i="10"/>
  <c r="AG30" i="10"/>
  <c r="AG31" i="10"/>
  <c r="AG32" i="10"/>
  <c r="AG33" i="10"/>
  <c r="AG34" i="10"/>
  <c r="AG35" i="10"/>
  <c r="AG36" i="10"/>
  <c r="AG37" i="10"/>
  <c r="AG38" i="10"/>
  <c r="AG39" i="10"/>
  <c r="AG40" i="10"/>
  <c r="AG41" i="10"/>
  <c r="AG42" i="10"/>
  <c r="AG43" i="10"/>
  <c r="AG44" i="10"/>
  <c r="AG45" i="10"/>
  <c r="AG46" i="10"/>
  <c r="AG47" i="10"/>
  <c r="AG48" i="10"/>
  <c r="AG49" i="10"/>
  <c r="AG50" i="10"/>
  <c r="AG51" i="10"/>
  <c r="AG52" i="10"/>
  <c r="AG53" i="10"/>
  <c r="AG54" i="10"/>
  <c r="AG55" i="10"/>
  <c r="AG56" i="10"/>
  <c r="AG57" i="10"/>
  <c r="AG58" i="10"/>
  <c r="AG59" i="10"/>
  <c r="AG60" i="10"/>
  <c r="AG61" i="10"/>
  <c r="AG62" i="10"/>
  <c r="AG63" i="10"/>
  <c r="AG64" i="10"/>
  <c r="AG65" i="10"/>
  <c r="AG66" i="10"/>
  <c r="AG67" i="10"/>
  <c r="AG68" i="10"/>
  <c r="AG69" i="10"/>
  <c r="AG70" i="10"/>
  <c r="AG71" i="10"/>
  <c r="AG72" i="10"/>
  <c r="AG73" i="10"/>
  <c r="AG74" i="10"/>
  <c r="AG75" i="10"/>
  <c r="AG76" i="10"/>
  <c r="AG77" i="10"/>
  <c r="AG78" i="10"/>
  <c r="AG79" i="10"/>
  <c r="AG80" i="10"/>
  <c r="AG81" i="10"/>
  <c r="AG82" i="10"/>
  <c r="AG83" i="10"/>
  <c r="AG84" i="10"/>
  <c r="AG85" i="10"/>
  <c r="AG86" i="10"/>
  <c r="AG87" i="10"/>
  <c r="AG88" i="10"/>
  <c r="AG89" i="10"/>
  <c r="AG90" i="10"/>
  <c r="AG91" i="10"/>
  <c r="AG92" i="10"/>
  <c r="AG93" i="10"/>
  <c r="AG94" i="10"/>
  <c r="AG95" i="10"/>
  <c r="AG96" i="10"/>
  <c r="AG97" i="10"/>
  <c r="AG98" i="10"/>
  <c r="AG99" i="10"/>
  <c r="AG100" i="10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5" i="10"/>
  <c r="AF6" i="10"/>
  <c r="AF7" i="10"/>
  <c r="AF8" i="10"/>
  <c r="AF9" i="10"/>
  <c r="AF10" i="10"/>
  <c r="AF11" i="10"/>
  <c r="AF12" i="10"/>
  <c r="AF13" i="10"/>
  <c r="AF14" i="10"/>
  <c r="AF15" i="10"/>
  <c r="AF16" i="10"/>
  <c r="AF17" i="10"/>
  <c r="AF18" i="10"/>
  <c r="AF19" i="10"/>
  <c r="AF20" i="10"/>
  <c r="AF21" i="10"/>
  <c r="AF22" i="10"/>
  <c r="AF23" i="10"/>
  <c r="AF24" i="10"/>
  <c r="AF25" i="10"/>
  <c r="AF26" i="10"/>
  <c r="AF27" i="10"/>
  <c r="AF28" i="10"/>
  <c r="AF29" i="10"/>
  <c r="AF30" i="10"/>
  <c r="AF31" i="10"/>
  <c r="AF32" i="10"/>
  <c r="AF33" i="10"/>
  <c r="AF34" i="10"/>
  <c r="AF35" i="10"/>
  <c r="AF36" i="10"/>
  <c r="AF37" i="10"/>
  <c r="AF38" i="10"/>
  <c r="AF39" i="10"/>
  <c r="AF40" i="10"/>
  <c r="AF41" i="10"/>
  <c r="AF42" i="10"/>
  <c r="AF43" i="10"/>
  <c r="AF44" i="10"/>
  <c r="AF45" i="10"/>
  <c r="AF46" i="10"/>
  <c r="AF47" i="10"/>
  <c r="AF48" i="10"/>
  <c r="AF49" i="10"/>
  <c r="AF50" i="10"/>
  <c r="AF51" i="10"/>
  <c r="AF52" i="10"/>
  <c r="AF53" i="10"/>
  <c r="AF54" i="10"/>
  <c r="AF55" i="10"/>
  <c r="AF56" i="10"/>
  <c r="AF57" i="10"/>
  <c r="AF58" i="10"/>
  <c r="AF59" i="10"/>
  <c r="AF60" i="10"/>
  <c r="AF61" i="10"/>
  <c r="AF62" i="10"/>
  <c r="AF63" i="10"/>
  <c r="AF64" i="10"/>
  <c r="AF65" i="10"/>
  <c r="AF66" i="10"/>
  <c r="AF67" i="10"/>
  <c r="AF68" i="10"/>
  <c r="AF69" i="10"/>
  <c r="AF70" i="10"/>
  <c r="AF71" i="10"/>
  <c r="AF72" i="10"/>
  <c r="AF73" i="10"/>
  <c r="AF74" i="10"/>
  <c r="AF75" i="10"/>
  <c r="AF76" i="10"/>
  <c r="AF77" i="10"/>
  <c r="AF78" i="10"/>
  <c r="AF79" i="10"/>
  <c r="AF80" i="10"/>
  <c r="AF81" i="10"/>
  <c r="AF82" i="10"/>
  <c r="AF83" i="10"/>
  <c r="AF84" i="10"/>
  <c r="AF85" i="10"/>
  <c r="AF86" i="10"/>
  <c r="AF87" i="10"/>
  <c r="AF88" i="10"/>
  <c r="AF89" i="10"/>
  <c r="AF90" i="10"/>
  <c r="AF91" i="10"/>
  <c r="AF92" i="10"/>
  <c r="AF93" i="10"/>
  <c r="AF94" i="10"/>
  <c r="AF95" i="10"/>
  <c r="AF96" i="10"/>
  <c r="AF97" i="10"/>
  <c r="AF98" i="10"/>
  <c r="AF99" i="10"/>
  <c r="AF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170" i="10"/>
  <c r="AF171" i="10"/>
  <c r="AF172" i="10"/>
  <c r="AF173" i="10"/>
  <c r="AF174" i="10"/>
  <c r="AF175" i="10"/>
  <c r="AF176" i="10"/>
  <c r="AF177" i="10"/>
  <c r="AF178" i="10"/>
  <c r="AF179" i="10"/>
  <c r="AF180" i="10"/>
  <c r="AF181" i="10"/>
  <c r="AF182" i="10"/>
  <c r="AF183" i="10"/>
  <c r="AF184" i="10"/>
  <c r="AF185" i="10"/>
  <c r="AF186" i="10"/>
  <c r="AF187" i="10"/>
  <c r="AF188" i="10"/>
  <c r="AF189" i="10"/>
  <c r="AF190" i="10"/>
  <c r="AF191" i="10"/>
  <c r="AF192" i="10"/>
  <c r="AF193" i="10"/>
  <c r="AF194" i="10"/>
  <c r="AF195" i="10"/>
  <c r="AF196" i="10"/>
  <c r="AF197" i="10"/>
  <c r="AF198" i="10"/>
  <c r="AF199" i="10"/>
  <c r="AF200" i="10"/>
  <c r="AF201" i="10"/>
  <c r="AF202" i="10"/>
  <c r="AF203" i="10"/>
  <c r="AF204" i="10"/>
  <c r="AF205" i="10"/>
  <c r="AF206" i="10"/>
  <c r="AF207" i="10"/>
  <c r="AF208" i="10"/>
  <c r="AF209" i="10"/>
  <c r="AF210" i="10"/>
  <c r="AF211" i="10"/>
  <c r="AF212" i="10"/>
  <c r="AF213" i="10"/>
  <c r="AF214" i="10"/>
  <c r="AF215" i="10"/>
  <c r="AF216" i="10"/>
  <c r="AF217" i="10"/>
  <c r="AF218" i="10"/>
  <c r="AF5" i="10"/>
  <c r="F218" i="10"/>
  <c r="F135" i="10"/>
  <c r="F134" i="10"/>
  <c r="F133" i="10"/>
  <c r="F132" i="10"/>
  <c r="F131" i="10"/>
  <c r="F130" i="10"/>
  <c r="F129" i="10"/>
  <c r="F128" i="10"/>
  <c r="F127" i="10"/>
  <c r="F126" i="10"/>
  <c r="F125" i="10"/>
  <c r="F124" i="10"/>
  <c r="F123" i="10"/>
  <c r="F122" i="10"/>
  <c r="F121" i="10"/>
  <c r="F120" i="10"/>
  <c r="F119" i="10"/>
  <c r="F118" i="10"/>
  <c r="F117" i="10"/>
  <c r="F116" i="10"/>
  <c r="F115" i="10"/>
  <c r="F114" i="10"/>
  <c r="F113" i="10"/>
  <c r="F112" i="10"/>
  <c r="F111" i="10"/>
  <c r="F110" i="10"/>
  <c r="F109" i="10"/>
  <c r="F108" i="10"/>
  <c r="F107" i="10"/>
  <c r="F106" i="10"/>
  <c r="F105" i="10"/>
  <c r="F104" i="10"/>
  <c r="F103" i="10"/>
  <c r="F102" i="10"/>
  <c r="F101" i="10"/>
  <c r="F100" i="10"/>
  <c r="F99" i="10"/>
  <c r="F98" i="10"/>
  <c r="F97" i="10"/>
  <c r="F96" i="10"/>
  <c r="F95" i="10"/>
  <c r="F94" i="10"/>
  <c r="F93" i="10"/>
  <c r="F92" i="10"/>
  <c r="F91" i="10"/>
  <c r="F90" i="10"/>
  <c r="F89" i="10"/>
  <c r="F88" i="10"/>
  <c r="F87" i="10"/>
  <c r="F86" i="10"/>
  <c r="F85" i="10"/>
  <c r="F84" i="10"/>
  <c r="F83" i="10"/>
  <c r="F82" i="10"/>
  <c r="F81" i="10"/>
  <c r="F80" i="10"/>
  <c r="F79" i="10"/>
  <c r="F78" i="10"/>
  <c r="F77" i="10"/>
  <c r="F76" i="10"/>
  <c r="F75" i="10"/>
  <c r="F74" i="10"/>
  <c r="F73" i="10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57" i="10"/>
  <c r="F56" i="10"/>
  <c r="F55" i="10"/>
  <c r="F54" i="10"/>
  <c r="F53" i="10"/>
  <c r="F52" i="10"/>
  <c r="F51" i="10"/>
  <c r="F50" i="10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I38" i="9"/>
  <c r="H38" i="9"/>
  <c r="G38" i="9"/>
  <c r="I37" i="9"/>
  <c r="H37" i="9"/>
  <c r="G37" i="9"/>
  <c r="I36" i="9"/>
  <c r="H36" i="9"/>
  <c r="G36" i="9"/>
  <c r="I35" i="9"/>
  <c r="H35" i="9"/>
  <c r="G35" i="9"/>
  <c r="I34" i="9"/>
  <c r="H34" i="9"/>
  <c r="G34" i="9"/>
  <c r="I33" i="9"/>
  <c r="H33" i="9"/>
  <c r="G33" i="9"/>
  <c r="I32" i="9"/>
  <c r="H32" i="9"/>
  <c r="G32" i="9"/>
  <c r="I31" i="9"/>
  <c r="H31" i="9"/>
  <c r="G31" i="9"/>
  <c r="I30" i="9"/>
  <c r="H30" i="9"/>
  <c r="G30" i="9"/>
  <c r="I29" i="9"/>
  <c r="H29" i="9"/>
  <c r="G29" i="9"/>
  <c r="I28" i="9"/>
  <c r="H28" i="9"/>
  <c r="G28" i="9"/>
  <c r="I27" i="9"/>
  <c r="H27" i="9"/>
  <c r="G27" i="9"/>
  <c r="I26" i="9"/>
  <c r="H26" i="9"/>
  <c r="G26" i="9"/>
  <c r="I25" i="9"/>
  <c r="H25" i="9"/>
  <c r="G25" i="9"/>
  <c r="I24" i="9"/>
  <c r="H24" i="9"/>
  <c r="G24" i="9"/>
  <c r="I23" i="9"/>
  <c r="H23" i="9"/>
  <c r="G23" i="9"/>
  <c r="I22" i="9"/>
  <c r="H22" i="9"/>
  <c r="G22" i="9"/>
  <c r="I21" i="9"/>
  <c r="H21" i="9"/>
  <c r="G21" i="9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I10" i="9"/>
  <c r="H10" i="9"/>
  <c r="G10" i="9"/>
  <c r="I9" i="9"/>
  <c r="H9" i="9"/>
  <c r="G9" i="9"/>
  <c r="I8" i="9"/>
  <c r="H8" i="9"/>
  <c r="G8" i="9"/>
  <c r="I7" i="9"/>
  <c r="H7" i="9"/>
  <c r="G7" i="9"/>
  <c r="I6" i="9"/>
  <c r="H6" i="9"/>
  <c r="G6" i="9"/>
  <c r="C42" i="8"/>
  <c r="O41" i="8"/>
  <c r="O42" i="8" s="1"/>
  <c r="E30" i="8"/>
  <c r="C30" i="8"/>
  <c r="K30" i="8" s="1"/>
  <c r="E29" i="8"/>
  <c r="C29" i="8"/>
  <c r="K29" i="8" s="1"/>
  <c r="E28" i="8"/>
  <c r="C28" i="8"/>
  <c r="H28" i="8" s="1"/>
  <c r="K27" i="8"/>
  <c r="E27" i="8"/>
  <c r="C27" i="8"/>
  <c r="E26" i="8"/>
  <c r="C26" i="8"/>
  <c r="E25" i="8"/>
  <c r="C25" i="8"/>
  <c r="H25" i="8" s="1"/>
  <c r="H24" i="8"/>
  <c r="E24" i="8"/>
  <c r="C24" i="8"/>
  <c r="K24" i="8" s="1"/>
  <c r="H23" i="8"/>
  <c r="E23" i="8"/>
  <c r="C23" i="8"/>
  <c r="K23" i="8" s="1"/>
  <c r="E22" i="8"/>
  <c r="C22" i="8"/>
  <c r="E21" i="8"/>
  <c r="C21" i="8"/>
  <c r="K21" i="8" s="1"/>
  <c r="E20" i="8"/>
  <c r="C20" i="8"/>
  <c r="H19" i="8"/>
  <c r="E19" i="8"/>
  <c r="C19" i="8"/>
  <c r="K19" i="8" s="1"/>
  <c r="E18" i="8"/>
  <c r="C18" i="8"/>
  <c r="H18" i="8" s="1"/>
  <c r="E17" i="8"/>
  <c r="C17" i="8"/>
  <c r="K17" i="8" s="1"/>
  <c r="H16" i="8"/>
  <c r="E16" i="8"/>
  <c r="C16" i="8"/>
  <c r="E15" i="8"/>
  <c r="C15" i="8"/>
  <c r="K15" i="8" s="1"/>
  <c r="E14" i="8"/>
  <c r="C14" i="8"/>
  <c r="K14" i="8" s="1"/>
  <c r="H13" i="8"/>
  <c r="E13" i="8"/>
  <c r="C13" i="8"/>
  <c r="E12" i="8"/>
  <c r="C12" i="8"/>
  <c r="K12" i="8" s="1"/>
  <c r="E11" i="8"/>
  <c r="C11" i="8"/>
  <c r="E10" i="8"/>
  <c r="C10" i="8"/>
  <c r="K10" i="8" s="1"/>
  <c r="E9" i="8"/>
  <c r="C9" i="8"/>
  <c r="E8" i="8"/>
  <c r="C8" i="8"/>
  <c r="E7" i="8"/>
  <c r="C7" i="8"/>
  <c r="K7" i="8" s="1"/>
  <c r="E6" i="8"/>
  <c r="C6" i="8"/>
  <c r="E5" i="8"/>
  <c r="P3" i="8"/>
  <c r="P30" i="7"/>
  <c r="M30" i="7"/>
  <c r="J30" i="7"/>
  <c r="G30" i="7"/>
  <c r="E30" i="7"/>
  <c r="C30" i="7"/>
  <c r="P29" i="7"/>
  <c r="M29" i="7"/>
  <c r="J29" i="7"/>
  <c r="G29" i="7"/>
  <c r="E29" i="7"/>
  <c r="C29" i="7"/>
  <c r="P28" i="7"/>
  <c r="Q29" i="7" s="1"/>
  <c r="M28" i="7"/>
  <c r="J28" i="7"/>
  <c r="G28" i="7"/>
  <c r="E28" i="7"/>
  <c r="C28" i="7"/>
  <c r="P27" i="7"/>
  <c r="M27" i="7"/>
  <c r="N28" i="7" s="1"/>
  <c r="J27" i="7"/>
  <c r="G27" i="7"/>
  <c r="E27" i="7"/>
  <c r="F28" i="7" s="1"/>
  <c r="C27" i="7"/>
  <c r="P26" i="7"/>
  <c r="M26" i="7"/>
  <c r="N27" i="7" s="1"/>
  <c r="J26" i="7"/>
  <c r="G26" i="7"/>
  <c r="E26" i="7"/>
  <c r="C26" i="7"/>
  <c r="F27" i="7" s="1"/>
  <c r="P25" i="7"/>
  <c r="M25" i="7"/>
  <c r="J25" i="7"/>
  <c r="G25" i="7"/>
  <c r="E25" i="7"/>
  <c r="C25" i="7"/>
  <c r="P24" i="7"/>
  <c r="M24" i="7"/>
  <c r="J24" i="7"/>
  <c r="G24" i="7"/>
  <c r="E24" i="7"/>
  <c r="C24" i="7"/>
  <c r="P23" i="7"/>
  <c r="M23" i="7"/>
  <c r="J23" i="7"/>
  <c r="K24" i="7" s="1"/>
  <c r="G23" i="7"/>
  <c r="E23" i="7"/>
  <c r="C23" i="7"/>
  <c r="P22" i="7"/>
  <c r="M22" i="7"/>
  <c r="N23" i="7" s="1"/>
  <c r="J22" i="7"/>
  <c r="G22" i="7"/>
  <c r="E22" i="7"/>
  <c r="F22" i="7" s="1"/>
  <c r="C22" i="7"/>
  <c r="P21" i="7"/>
  <c r="M21" i="7"/>
  <c r="J21" i="7"/>
  <c r="G21" i="7"/>
  <c r="E21" i="7"/>
  <c r="C21" i="7"/>
  <c r="F21" i="7" s="1"/>
  <c r="P20" i="7"/>
  <c r="M20" i="7"/>
  <c r="J20" i="7"/>
  <c r="G20" i="7"/>
  <c r="E20" i="7"/>
  <c r="C20" i="7"/>
  <c r="P19" i="7"/>
  <c r="Q20" i="7" s="1"/>
  <c r="M19" i="7"/>
  <c r="J19" i="7"/>
  <c r="G19" i="7"/>
  <c r="E19" i="7"/>
  <c r="C19" i="7"/>
  <c r="P18" i="7"/>
  <c r="N18" i="7"/>
  <c r="M18" i="7"/>
  <c r="J18" i="7"/>
  <c r="G18" i="7"/>
  <c r="E18" i="7"/>
  <c r="C18" i="7"/>
  <c r="P17" i="7"/>
  <c r="M17" i="7"/>
  <c r="J17" i="7"/>
  <c r="G17" i="7"/>
  <c r="E17" i="7"/>
  <c r="C17" i="7"/>
  <c r="P16" i="7"/>
  <c r="M16" i="7"/>
  <c r="J16" i="7"/>
  <c r="G16" i="7"/>
  <c r="E16" i="7"/>
  <c r="C16" i="7"/>
  <c r="P15" i="7"/>
  <c r="Q16" i="7" s="1"/>
  <c r="M15" i="7"/>
  <c r="J15" i="7"/>
  <c r="G15" i="7"/>
  <c r="H16" i="7" s="1"/>
  <c r="E15" i="7"/>
  <c r="C15" i="7"/>
  <c r="N15" i="7" s="1"/>
  <c r="P14" i="7"/>
  <c r="M14" i="7"/>
  <c r="J14" i="7"/>
  <c r="G14" i="7"/>
  <c r="E14" i="7"/>
  <c r="C14" i="7"/>
  <c r="P13" i="7"/>
  <c r="M13" i="7"/>
  <c r="J13" i="7"/>
  <c r="G13" i="7"/>
  <c r="E13" i="7"/>
  <c r="C13" i="7"/>
  <c r="P12" i="7"/>
  <c r="M12" i="7"/>
  <c r="J12" i="7"/>
  <c r="G12" i="7"/>
  <c r="E12" i="7"/>
  <c r="C12" i="7"/>
  <c r="P11" i="7"/>
  <c r="M11" i="7"/>
  <c r="J11" i="7"/>
  <c r="G11" i="7"/>
  <c r="E11" i="7"/>
  <c r="C11" i="7"/>
  <c r="P10" i="7"/>
  <c r="M10" i="7"/>
  <c r="J10" i="7"/>
  <c r="K11" i="7" s="1"/>
  <c r="G10" i="7"/>
  <c r="E10" i="7"/>
  <c r="C10" i="7"/>
  <c r="P9" i="7"/>
  <c r="M9" i="7"/>
  <c r="J9" i="7"/>
  <c r="K9" i="7" s="1"/>
  <c r="G9" i="7"/>
  <c r="E9" i="7"/>
  <c r="C9" i="7"/>
  <c r="P8" i="7"/>
  <c r="M8" i="7"/>
  <c r="J8" i="7"/>
  <c r="G8" i="7"/>
  <c r="E8" i="7"/>
  <c r="C8" i="7"/>
  <c r="P7" i="7"/>
  <c r="M7" i="7"/>
  <c r="J7" i="7"/>
  <c r="G7" i="7"/>
  <c r="E7" i="7"/>
  <c r="C7" i="7"/>
  <c r="P6" i="7"/>
  <c r="M6" i="7"/>
  <c r="J6" i="7"/>
  <c r="G6" i="7"/>
  <c r="E6" i="7"/>
  <c r="C6" i="7"/>
  <c r="E5" i="7"/>
  <c r="P3" i="7"/>
  <c r="M3" i="7"/>
  <c r="J3" i="7"/>
  <c r="G3" i="7"/>
  <c r="C42" i="5"/>
  <c r="P30" i="5"/>
  <c r="M30" i="5"/>
  <c r="J30" i="5"/>
  <c r="G30" i="5"/>
  <c r="E30" i="5"/>
  <c r="C30" i="5"/>
  <c r="H30" i="5" s="1"/>
  <c r="P29" i="5"/>
  <c r="M29" i="5"/>
  <c r="J29" i="5"/>
  <c r="G29" i="5"/>
  <c r="E29" i="5"/>
  <c r="C29" i="5"/>
  <c r="P28" i="5"/>
  <c r="M28" i="5"/>
  <c r="J28" i="5"/>
  <c r="G28" i="5"/>
  <c r="E28" i="5"/>
  <c r="C28" i="5"/>
  <c r="H28" i="5" s="1"/>
  <c r="P27" i="5"/>
  <c r="M27" i="5"/>
  <c r="J27" i="5"/>
  <c r="G27" i="5"/>
  <c r="E27" i="5"/>
  <c r="C27" i="5"/>
  <c r="P26" i="5"/>
  <c r="M26" i="5"/>
  <c r="J26" i="5"/>
  <c r="G26" i="5"/>
  <c r="E26" i="5"/>
  <c r="C26" i="5"/>
  <c r="Q26" i="5" s="1"/>
  <c r="P25" i="5"/>
  <c r="M25" i="5"/>
  <c r="J25" i="5"/>
  <c r="G25" i="5"/>
  <c r="E25" i="5"/>
  <c r="C25" i="5"/>
  <c r="F26" i="5" s="1"/>
  <c r="P24" i="5"/>
  <c r="M24" i="5"/>
  <c r="J24" i="5"/>
  <c r="G24" i="5"/>
  <c r="E24" i="5"/>
  <c r="C24" i="5"/>
  <c r="K24" i="5" s="1"/>
  <c r="P23" i="5"/>
  <c r="Q23" i="5" s="1"/>
  <c r="M23" i="5"/>
  <c r="J23" i="5"/>
  <c r="G23" i="5"/>
  <c r="E23" i="5"/>
  <c r="C23" i="5"/>
  <c r="P22" i="5"/>
  <c r="M22" i="5"/>
  <c r="J22" i="5"/>
  <c r="G22" i="5"/>
  <c r="E22" i="5"/>
  <c r="C22" i="5"/>
  <c r="P21" i="5"/>
  <c r="M21" i="5"/>
  <c r="J21" i="5"/>
  <c r="G21" i="5"/>
  <c r="E21" i="5"/>
  <c r="C21" i="5"/>
  <c r="H21" i="5" s="1"/>
  <c r="P20" i="5"/>
  <c r="M20" i="5"/>
  <c r="J20" i="5"/>
  <c r="G20" i="5"/>
  <c r="E20" i="5"/>
  <c r="C20" i="5"/>
  <c r="H20" i="5" s="1"/>
  <c r="P19" i="5"/>
  <c r="M19" i="5"/>
  <c r="J19" i="5"/>
  <c r="G19" i="5"/>
  <c r="E19" i="5"/>
  <c r="C19" i="5"/>
  <c r="P18" i="5"/>
  <c r="M18" i="5"/>
  <c r="N19" i="5" s="1"/>
  <c r="J18" i="5"/>
  <c r="K19" i="5" s="1"/>
  <c r="G18" i="5"/>
  <c r="E18" i="5"/>
  <c r="C18" i="5"/>
  <c r="P17" i="5"/>
  <c r="M17" i="5"/>
  <c r="J17" i="5"/>
  <c r="K17" i="5" s="1"/>
  <c r="G17" i="5"/>
  <c r="H18" i="5" s="1"/>
  <c r="E17" i="5"/>
  <c r="C17" i="5"/>
  <c r="P16" i="5"/>
  <c r="M16" i="5"/>
  <c r="J16" i="5"/>
  <c r="G16" i="5"/>
  <c r="E16" i="5"/>
  <c r="C16" i="5"/>
  <c r="P15" i="5"/>
  <c r="M15" i="5"/>
  <c r="J15" i="5"/>
  <c r="G15" i="5"/>
  <c r="E15" i="5"/>
  <c r="C15" i="5"/>
  <c r="P14" i="5"/>
  <c r="Q15" i="5" s="1"/>
  <c r="M14" i="5"/>
  <c r="J14" i="5"/>
  <c r="G14" i="5"/>
  <c r="E14" i="5"/>
  <c r="C14" i="5"/>
  <c r="P13" i="5"/>
  <c r="M13" i="5"/>
  <c r="N14" i="5" s="1"/>
  <c r="J13" i="5"/>
  <c r="G13" i="5"/>
  <c r="H14" i="5" s="1"/>
  <c r="E13" i="5"/>
  <c r="C13" i="5"/>
  <c r="P12" i="5"/>
  <c r="M12" i="5"/>
  <c r="J12" i="5"/>
  <c r="G12" i="5"/>
  <c r="E12" i="5"/>
  <c r="C12" i="5"/>
  <c r="H12" i="5" s="1"/>
  <c r="P11" i="5"/>
  <c r="M11" i="5"/>
  <c r="J11" i="5"/>
  <c r="G11" i="5"/>
  <c r="E11" i="5"/>
  <c r="C11" i="5"/>
  <c r="P10" i="5"/>
  <c r="M10" i="5"/>
  <c r="J10" i="5"/>
  <c r="G10" i="5"/>
  <c r="E10" i="5"/>
  <c r="C10" i="5"/>
  <c r="P9" i="5"/>
  <c r="M9" i="5"/>
  <c r="J9" i="5"/>
  <c r="G9" i="5"/>
  <c r="E9" i="5"/>
  <c r="C9" i="5"/>
  <c r="P8" i="5"/>
  <c r="M8" i="5"/>
  <c r="J8" i="5"/>
  <c r="G8" i="5"/>
  <c r="E8" i="5"/>
  <c r="C8" i="5"/>
  <c r="K8" i="5" s="1"/>
  <c r="P7" i="5"/>
  <c r="M7" i="5"/>
  <c r="J7" i="5"/>
  <c r="G7" i="5"/>
  <c r="E7" i="5"/>
  <c r="C7" i="5"/>
  <c r="P6" i="5"/>
  <c r="M6" i="5"/>
  <c r="J6" i="5"/>
  <c r="G6" i="5"/>
  <c r="E6" i="5"/>
  <c r="C6" i="5"/>
  <c r="E5" i="5"/>
  <c r="P3" i="5"/>
  <c r="M3" i="5"/>
  <c r="J3" i="5"/>
  <c r="G3" i="5"/>
  <c r="C42" i="4"/>
  <c r="M30" i="4"/>
  <c r="K30" i="4"/>
  <c r="J30" i="4"/>
  <c r="G30" i="4"/>
  <c r="H30" i="4" s="1"/>
  <c r="E30" i="4"/>
  <c r="C30" i="4"/>
  <c r="M29" i="4"/>
  <c r="J29" i="4"/>
  <c r="G29" i="4"/>
  <c r="E29" i="4"/>
  <c r="C29" i="4"/>
  <c r="M28" i="4"/>
  <c r="J28" i="4"/>
  <c r="K29" i="4" s="1"/>
  <c r="G28" i="4"/>
  <c r="E28" i="4"/>
  <c r="C28" i="4"/>
  <c r="M27" i="4"/>
  <c r="N27" i="4" s="1"/>
  <c r="J27" i="4"/>
  <c r="K27" i="4" s="1"/>
  <c r="G27" i="4"/>
  <c r="E27" i="4"/>
  <c r="C27" i="4"/>
  <c r="M26" i="4"/>
  <c r="J26" i="4"/>
  <c r="G26" i="4"/>
  <c r="E26" i="4"/>
  <c r="C26" i="4"/>
  <c r="N26" i="4" s="1"/>
  <c r="M25" i="4"/>
  <c r="J25" i="4"/>
  <c r="G25" i="4"/>
  <c r="E25" i="4"/>
  <c r="C25" i="4"/>
  <c r="M24" i="4"/>
  <c r="J24" i="4"/>
  <c r="K25" i="4" s="1"/>
  <c r="G24" i="4"/>
  <c r="E24" i="4"/>
  <c r="C24" i="4"/>
  <c r="N24" i="4" s="1"/>
  <c r="M23" i="4"/>
  <c r="J23" i="4"/>
  <c r="G23" i="4"/>
  <c r="E23" i="4"/>
  <c r="C23" i="4"/>
  <c r="M22" i="4"/>
  <c r="J22" i="4"/>
  <c r="G22" i="4"/>
  <c r="E22" i="4"/>
  <c r="C22" i="4"/>
  <c r="K22" i="4" s="1"/>
  <c r="M21" i="4"/>
  <c r="N22" i="4" s="1"/>
  <c r="J21" i="4"/>
  <c r="G21" i="4"/>
  <c r="E21" i="4"/>
  <c r="C21" i="4"/>
  <c r="M20" i="4"/>
  <c r="J20" i="4"/>
  <c r="G20" i="4"/>
  <c r="H21" i="4" s="1"/>
  <c r="E20" i="4"/>
  <c r="C20" i="4"/>
  <c r="M19" i="4"/>
  <c r="J19" i="4"/>
  <c r="G19" i="4"/>
  <c r="E19" i="4"/>
  <c r="C19" i="4"/>
  <c r="N19" i="4" s="1"/>
  <c r="N18" i="4"/>
  <c r="M18" i="4"/>
  <c r="J18" i="4"/>
  <c r="G18" i="4"/>
  <c r="E18" i="4"/>
  <c r="C18" i="4"/>
  <c r="M17" i="4"/>
  <c r="J17" i="4"/>
  <c r="K18" i="4" s="1"/>
  <c r="G17" i="4"/>
  <c r="E17" i="4"/>
  <c r="C17" i="4"/>
  <c r="M16" i="4"/>
  <c r="J16" i="4"/>
  <c r="G16" i="4"/>
  <c r="E16" i="4"/>
  <c r="C16" i="4"/>
  <c r="N16" i="4" s="1"/>
  <c r="M15" i="4"/>
  <c r="J15" i="4"/>
  <c r="G15" i="4"/>
  <c r="E15" i="4"/>
  <c r="C15" i="4"/>
  <c r="N15" i="4" s="1"/>
  <c r="M14" i="4"/>
  <c r="J14" i="4"/>
  <c r="K15" i="4" s="1"/>
  <c r="G14" i="4"/>
  <c r="E14" i="4"/>
  <c r="C14" i="4"/>
  <c r="M13" i="4"/>
  <c r="J13" i="4"/>
  <c r="G13" i="4"/>
  <c r="E13" i="4"/>
  <c r="C13" i="4"/>
  <c r="M12" i="4"/>
  <c r="J12" i="4"/>
  <c r="G12" i="4"/>
  <c r="E12" i="4"/>
  <c r="C12" i="4"/>
  <c r="M11" i="4"/>
  <c r="J11" i="4"/>
  <c r="G11" i="4"/>
  <c r="H12" i="4" s="1"/>
  <c r="E11" i="4"/>
  <c r="C11" i="4"/>
  <c r="F11" i="4" s="1"/>
  <c r="M10" i="4"/>
  <c r="N11" i="4" s="1"/>
  <c r="K10" i="4"/>
  <c r="J10" i="4"/>
  <c r="G10" i="4"/>
  <c r="E10" i="4"/>
  <c r="C10" i="4"/>
  <c r="M9" i="4"/>
  <c r="J9" i="4"/>
  <c r="G9" i="4"/>
  <c r="E9" i="4"/>
  <c r="C9" i="4"/>
  <c r="K9" i="4" s="1"/>
  <c r="M8" i="4"/>
  <c r="N8" i="4" s="1"/>
  <c r="J8" i="4"/>
  <c r="G8" i="4"/>
  <c r="E8" i="4"/>
  <c r="C8" i="4"/>
  <c r="M7" i="4"/>
  <c r="J7" i="4"/>
  <c r="G7" i="4"/>
  <c r="E7" i="4"/>
  <c r="C7" i="4"/>
  <c r="M6" i="4"/>
  <c r="J6" i="4"/>
  <c r="G6" i="4"/>
  <c r="E6" i="4"/>
  <c r="C6" i="4"/>
  <c r="E5" i="4"/>
  <c r="M3" i="4"/>
  <c r="J3" i="4"/>
  <c r="G3" i="4"/>
  <c r="C42" i="3"/>
  <c r="O30" i="3"/>
  <c r="L30" i="3"/>
  <c r="G30" i="3"/>
  <c r="E30" i="3"/>
  <c r="C30" i="3"/>
  <c r="O29" i="3"/>
  <c r="L29" i="3"/>
  <c r="G29" i="3"/>
  <c r="E29" i="3"/>
  <c r="C29" i="3"/>
  <c r="O28" i="3"/>
  <c r="L28" i="3"/>
  <c r="G28" i="3"/>
  <c r="H29" i="3" s="1"/>
  <c r="E28" i="3"/>
  <c r="C28" i="3"/>
  <c r="O27" i="3"/>
  <c r="L27" i="3"/>
  <c r="G27" i="3"/>
  <c r="E27" i="3"/>
  <c r="C27" i="3"/>
  <c r="O26" i="3"/>
  <c r="L26" i="3"/>
  <c r="G26" i="3"/>
  <c r="E26" i="3"/>
  <c r="C26" i="3"/>
  <c r="O25" i="3"/>
  <c r="L25" i="3"/>
  <c r="G25" i="3"/>
  <c r="E25" i="3"/>
  <c r="C25" i="3"/>
  <c r="O24" i="3"/>
  <c r="L24" i="3"/>
  <c r="G24" i="3"/>
  <c r="E24" i="3"/>
  <c r="C24" i="3"/>
  <c r="O23" i="3"/>
  <c r="L23" i="3"/>
  <c r="G23" i="3"/>
  <c r="E23" i="3"/>
  <c r="C23" i="3"/>
  <c r="O22" i="3"/>
  <c r="L22" i="3"/>
  <c r="G22" i="3"/>
  <c r="E22" i="3"/>
  <c r="C22" i="3"/>
  <c r="O21" i="3"/>
  <c r="P22" i="3" s="1"/>
  <c r="L21" i="3"/>
  <c r="G21" i="3"/>
  <c r="E21" i="3"/>
  <c r="C21" i="3"/>
  <c r="O20" i="3"/>
  <c r="L20" i="3"/>
  <c r="G20" i="3"/>
  <c r="E20" i="3"/>
  <c r="C20" i="3"/>
  <c r="O19" i="3"/>
  <c r="L19" i="3"/>
  <c r="G19" i="3"/>
  <c r="E19" i="3"/>
  <c r="C19" i="3"/>
  <c r="O18" i="3"/>
  <c r="L18" i="3"/>
  <c r="G18" i="3"/>
  <c r="E18" i="3"/>
  <c r="C18" i="3"/>
  <c r="O17" i="3"/>
  <c r="L17" i="3"/>
  <c r="G17" i="3"/>
  <c r="E17" i="3"/>
  <c r="C17" i="3"/>
  <c r="H17" i="3" s="1"/>
  <c r="O16" i="3"/>
  <c r="L16" i="3"/>
  <c r="G16" i="3"/>
  <c r="E16" i="3"/>
  <c r="C16" i="3"/>
  <c r="O15" i="3"/>
  <c r="L15" i="3"/>
  <c r="G15" i="3"/>
  <c r="E15" i="3"/>
  <c r="C15" i="3"/>
  <c r="O14" i="3"/>
  <c r="L14" i="3"/>
  <c r="G14" i="3"/>
  <c r="E14" i="3"/>
  <c r="C14" i="3"/>
  <c r="F14" i="3" s="1"/>
  <c r="O13" i="3"/>
  <c r="L13" i="3"/>
  <c r="G13" i="3"/>
  <c r="E13" i="3"/>
  <c r="C13" i="3"/>
  <c r="O12" i="3"/>
  <c r="P13" i="3" s="1"/>
  <c r="L12" i="3"/>
  <c r="H12" i="3"/>
  <c r="G12" i="3"/>
  <c r="E12" i="3"/>
  <c r="C12" i="3"/>
  <c r="O11" i="3"/>
  <c r="L11" i="3"/>
  <c r="M11" i="3" s="1"/>
  <c r="G11" i="3"/>
  <c r="E11" i="3"/>
  <c r="C11" i="3"/>
  <c r="O10" i="3"/>
  <c r="L10" i="3"/>
  <c r="G10" i="3"/>
  <c r="E10" i="3"/>
  <c r="C10" i="3"/>
  <c r="O9" i="3"/>
  <c r="L9" i="3"/>
  <c r="G9" i="3"/>
  <c r="E9" i="3"/>
  <c r="C9" i="3"/>
  <c r="M9" i="3" s="1"/>
  <c r="O8" i="3"/>
  <c r="L8" i="3"/>
  <c r="G8" i="3"/>
  <c r="E8" i="3"/>
  <c r="C8" i="3"/>
  <c r="O7" i="3"/>
  <c r="L7" i="3"/>
  <c r="G7" i="3"/>
  <c r="E7" i="3"/>
  <c r="C7" i="3"/>
  <c r="O6" i="3"/>
  <c r="L6" i="3"/>
  <c r="G6" i="3"/>
  <c r="E6" i="3"/>
  <c r="C6" i="3"/>
  <c r="E5" i="3"/>
  <c r="R3" i="3"/>
  <c r="O3" i="3"/>
  <c r="L3" i="3"/>
  <c r="G3" i="3"/>
  <c r="C42" i="2"/>
  <c r="G30" i="2"/>
  <c r="E30" i="2"/>
  <c r="C30" i="2"/>
  <c r="H30" i="2" s="1"/>
  <c r="G29" i="2"/>
  <c r="E29" i="2"/>
  <c r="C29" i="2"/>
  <c r="G28" i="2"/>
  <c r="E28" i="2"/>
  <c r="C28" i="2"/>
  <c r="G27" i="2"/>
  <c r="E27" i="2"/>
  <c r="C27" i="2"/>
  <c r="G26" i="2"/>
  <c r="E26" i="2"/>
  <c r="C26" i="2"/>
  <c r="F26" i="2" s="1"/>
  <c r="G25" i="2"/>
  <c r="E25" i="2"/>
  <c r="C25" i="2"/>
  <c r="G24" i="2"/>
  <c r="E24" i="2"/>
  <c r="C24" i="2"/>
  <c r="G23" i="2"/>
  <c r="E23" i="2"/>
  <c r="C23" i="2"/>
  <c r="G22" i="2"/>
  <c r="E22" i="2"/>
  <c r="C22" i="2"/>
  <c r="G21" i="2"/>
  <c r="E21" i="2"/>
  <c r="C21" i="2"/>
  <c r="G20" i="2"/>
  <c r="E20" i="2"/>
  <c r="C20" i="2"/>
  <c r="G19" i="2"/>
  <c r="E19" i="2"/>
  <c r="C19" i="2"/>
  <c r="G18" i="2"/>
  <c r="E18" i="2"/>
  <c r="C18" i="2"/>
  <c r="G17" i="2"/>
  <c r="E17" i="2"/>
  <c r="C17" i="2"/>
  <c r="G16" i="2"/>
  <c r="E16" i="2"/>
  <c r="C16" i="2"/>
  <c r="G15" i="2"/>
  <c r="E15" i="2"/>
  <c r="C15" i="2"/>
  <c r="G14" i="2"/>
  <c r="E14" i="2"/>
  <c r="C14" i="2"/>
  <c r="G13" i="2"/>
  <c r="H14" i="2" s="1"/>
  <c r="E13" i="2"/>
  <c r="C13" i="2"/>
  <c r="F14" i="2" s="1"/>
  <c r="G12" i="2"/>
  <c r="E12" i="2"/>
  <c r="C12" i="2"/>
  <c r="G11" i="2"/>
  <c r="E11" i="2"/>
  <c r="C11" i="2"/>
  <c r="G10" i="2"/>
  <c r="E10" i="2"/>
  <c r="C10" i="2"/>
  <c r="G9" i="2"/>
  <c r="E9" i="2"/>
  <c r="C9" i="2"/>
  <c r="G8" i="2"/>
  <c r="E8" i="2"/>
  <c r="C8" i="2"/>
  <c r="G7" i="2"/>
  <c r="H8" i="2" s="1"/>
  <c r="E7" i="2"/>
  <c r="C7" i="2"/>
  <c r="G6" i="2"/>
  <c r="E6" i="2"/>
  <c r="C6" i="2"/>
  <c r="E5" i="2"/>
  <c r="F15" i="2" s="1"/>
  <c r="P3" i="2"/>
  <c r="M3" i="2"/>
  <c r="J3" i="2"/>
  <c r="G3" i="2"/>
  <c r="M13" i="3" l="1"/>
  <c r="N7" i="4"/>
  <c r="F24" i="4"/>
  <c r="O24" i="4" s="1"/>
  <c r="N22" i="5"/>
  <c r="H48" i="9"/>
  <c r="F24" i="1" s="1"/>
  <c r="F28" i="3"/>
  <c r="K7" i="4"/>
  <c r="F20" i="4"/>
  <c r="H28" i="4"/>
  <c r="K11" i="4"/>
  <c r="L11" i="4" s="1"/>
  <c r="F25" i="4"/>
  <c r="O25" i="4" s="1"/>
  <c r="H27" i="3"/>
  <c r="F24" i="8"/>
  <c r="K24" i="4"/>
  <c r="H10" i="3"/>
  <c r="N11" i="5"/>
  <c r="H12" i="7"/>
  <c r="I12" i="7" s="1"/>
  <c r="H20" i="7"/>
  <c r="Q24" i="7"/>
  <c r="H17" i="8"/>
  <c r="F23" i="2"/>
  <c r="H14" i="3"/>
  <c r="I14" i="3" s="1"/>
  <c r="F29" i="4"/>
  <c r="O29" i="4" s="1"/>
  <c r="F12" i="7"/>
  <c r="M14" i="3"/>
  <c r="N14" i="3" s="1"/>
  <c r="H20" i="3"/>
  <c r="P29" i="3"/>
  <c r="F21" i="4"/>
  <c r="K8" i="7"/>
  <c r="H28" i="7"/>
  <c r="I28" i="7" s="1"/>
  <c r="N12" i="4"/>
  <c r="H11" i="3"/>
  <c r="K16" i="4"/>
  <c r="L16" i="4" s="1"/>
  <c r="F26" i="4"/>
  <c r="O26" i="4" s="1"/>
  <c r="F15" i="5"/>
  <c r="O15" i="5" s="1"/>
  <c r="H24" i="7"/>
  <c r="H18" i="2"/>
  <c r="M15" i="3"/>
  <c r="N12" i="7"/>
  <c r="O12" i="7" s="1"/>
  <c r="F11" i="2"/>
  <c r="F8" i="4"/>
  <c r="O8" i="4" s="1"/>
  <c r="F17" i="4"/>
  <c r="I17" i="4" s="1"/>
  <c r="H26" i="4"/>
  <c r="F27" i="5"/>
  <c r="K21" i="7"/>
  <c r="F11" i="3"/>
  <c r="I11" i="3" s="1"/>
  <c r="K26" i="4"/>
  <c r="L26" i="4" s="1"/>
  <c r="N29" i="4"/>
  <c r="N12" i="5"/>
  <c r="N15" i="5"/>
  <c r="M7" i="3"/>
  <c r="K8" i="4"/>
  <c r="K21" i="4"/>
  <c r="F30" i="4"/>
  <c r="O30" i="4" s="1"/>
  <c r="N23" i="5"/>
  <c r="N28" i="4"/>
  <c r="K19" i="4"/>
  <c r="H16" i="3"/>
  <c r="H20" i="2"/>
  <c r="P25" i="3"/>
  <c r="K21" i="5"/>
  <c r="F10" i="5"/>
  <c r="R10" i="5" s="1"/>
  <c r="M12" i="3"/>
  <c r="P26" i="3"/>
  <c r="H10" i="4"/>
  <c r="H23" i="4"/>
  <c r="H28" i="2"/>
  <c r="F14" i="4"/>
  <c r="O14" i="4" s="1"/>
  <c r="K20" i="5"/>
  <c r="N10" i="7"/>
  <c r="N30" i="4"/>
  <c r="Q9" i="5"/>
  <c r="K18" i="7"/>
  <c r="H12" i="8"/>
  <c r="H21" i="8"/>
  <c r="K9" i="5"/>
  <c r="K28" i="5"/>
  <c r="Q25" i="7"/>
  <c r="O11" i="4"/>
  <c r="N11" i="3"/>
  <c r="P17" i="3"/>
  <c r="L21" i="4"/>
  <c r="Q7" i="5"/>
  <c r="Q12" i="7"/>
  <c r="R12" i="7" s="1"/>
  <c r="F9" i="3"/>
  <c r="N9" i="3" s="1"/>
  <c r="P21" i="3"/>
  <c r="N21" i="4"/>
  <c r="O21" i="4" s="1"/>
  <c r="H25" i="4"/>
  <c r="H17" i="5"/>
  <c r="P12" i="3"/>
  <c r="N10" i="4"/>
  <c r="F13" i="4"/>
  <c r="F7" i="5"/>
  <c r="F7" i="3"/>
  <c r="H9" i="3"/>
  <c r="P27" i="3"/>
  <c r="H14" i="4"/>
  <c r="F16" i="4"/>
  <c r="F19" i="4"/>
  <c r="I19" i="4" s="1"/>
  <c r="H25" i="5"/>
  <c r="N22" i="7"/>
  <c r="K20" i="7"/>
  <c r="H17" i="4"/>
  <c r="H19" i="4"/>
  <c r="L24" i="4"/>
  <c r="F27" i="4"/>
  <c r="I27" i="4" s="1"/>
  <c r="N10" i="5"/>
  <c r="H22" i="5"/>
  <c r="H7" i="3"/>
  <c r="F12" i="3"/>
  <c r="P15" i="3"/>
  <c r="M27" i="3"/>
  <c r="K13" i="4"/>
  <c r="L13" i="4" s="1"/>
  <c r="F22" i="4"/>
  <c r="I22" i="4" s="1"/>
  <c r="N8" i="5"/>
  <c r="Q11" i="5"/>
  <c r="N28" i="5"/>
  <c r="F9" i="7"/>
  <c r="N20" i="7"/>
  <c r="N7" i="3"/>
  <c r="F27" i="3"/>
  <c r="Q27" i="5"/>
  <c r="R27" i="5" s="1"/>
  <c r="L9" i="7"/>
  <c r="N13" i="4"/>
  <c r="P10" i="3"/>
  <c r="F15" i="3"/>
  <c r="F7" i="4"/>
  <c r="L7" i="4" s="1"/>
  <c r="F9" i="4"/>
  <c r="I9" i="4" s="1"/>
  <c r="H11" i="4"/>
  <c r="F11" i="5"/>
  <c r="O11" i="5" s="1"/>
  <c r="H15" i="3"/>
  <c r="H24" i="3"/>
  <c r="H9" i="4"/>
  <c r="F25" i="5"/>
  <c r="Q19" i="5"/>
  <c r="K25" i="5"/>
  <c r="L25" i="5" s="1"/>
  <c r="F28" i="8"/>
  <c r="F28" i="4"/>
  <c r="K15" i="5"/>
  <c r="H10" i="7"/>
  <c r="P7" i="3"/>
  <c r="Q25" i="5"/>
  <c r="F30" i="5"/>
  <c r="Q28" i="7"/>
  <c r="R28" i="7" s="1"/>
  <c r="F18" i="8"/>
  <c r="F21" i="2"/>
  <c r="H8" i="4"/>
  <c r="N9" i="4"/>
  <c r="N25" i="4"/>
  <c r="M10" i="3"/>
  <c r="H13" i="3"/>
  <c r="F20" i="3"/>
  <c r="H7" i="4"/>
  <c r="F12" i="4"/>
  <c r="O12" i="4" s="1"/>
  <c r="N14" i="4"/>
  <c r="N17" i="4"/>
  <c r="H24" i="4"/>
  <c r="I24" i="4" s="1"/>
  <c r="K28" i="4"/>
  <c r="N16" i="5"/>
  <c r="Q22" i="5"/>
  <c r="H29" i="5"/>
  <c r="H29" i="8"/>
  <c r="F8" i="3"/>
  <c r="H8" i="3"/>
  <c r="P11" i="3"/>
  <c r="F16" i="3"/>
  <c r="N16" i="3" s="1"/>
  <c r="H21" i="3"/>
  <c r="I7" i="4"/>
  <c r="H13" i="4"/>
  <c r="N20" i="4"/>
  <c r="O20" i="4" s="1"/>
  <c r="F9" i="5"/>
  <c r="R9" i="5" s="1"/>
  <c r="K29" i="5"/>
  <c r="Q17" i="7"/>
  <c r="H21" i="7"/>
  <c r="I21" i="7" s="1"/>
  <c r="N24" i="7"/>
  <c r="K23" i="4"/>
  <c r="L23" i="4" s="1"/>
  <c r="K13" i="5"/>
  <c r="N30" i="5"/>
  <c r="H11" i="7"/>
  <c r="F13" i="3"/>
  <c r="N13" i="3" s="1"/>
  <c r="K14" i="4"/>
  <c r="L14" i="4" s="1"/>
  <c r="K17" i="4"/>
  <c r="F30" i="2"/>
  <c r="I30" i="2" s="1"/>
  <c r="H30" i="3"/>
  <c r="H16" i="2"/>
  <c r="P20" i="3"/>
  <c r="F10" i="4"/>
  <c r="K12" i="4"/>
  <c r="F15" i="4"/>
  <c r="O15" i="4" s="1"/>
  <c r="F18" i="4"/>
  <c r="K16" i="5"/>
  <c r="F23" i="5"/>
  <c r="O23" i="5" s="1"/>
  <c r="N8" i="7"/>
  <c r="H20" i="4"/>
  <c r="I20" i="4" s="1"/>
  <c r="M16" i="3"/>
  <c r="F23" i="4"/>
  <c r="O23" i="4" s="1"/>
  <c r="M8" i="3"/>
  <c r="P14" i="3"/>
  <c r="Q14" i="3" s="1"/>
  <c r="M21" i="3"/>
  <c r="H25" i="3"/>
  <c r="H16" i="4"/>
  <c r="I16" i="4" s="1"/>
  <c r="H18" i="4"/>
  <c r="N23" i="4"/>
  <c r="H27" i="4"/>
  <c r="H24" i="5"/>
  <c r="K27" i="5"/>
  <c r="L27" i="5" s="1"/>
  <c r="Q8" i="7"/>
  <c r="Q22" i="7"/>
  <c r="H7" i="8"/>
  <c r="K20" i="4"/>
  <c r="H9" i="2"/>
  <c r="H22" i="4"/>
  <c r="K23" i="5"/>
  <c r="N27" i="5"/>
  <c r="K12" i="7"/>
  <c r="L12" i="7" s="1"/>
  <c r="F10" i="3"/>
  <c r="I10" i="3" s="1"/>
  <c r="H17" i="2"/>
  <c r="P9" i="3"/>
  <c r="Q9" i="3" s="1"/>
  <c r="H22" i="3"/>
  <c r="M30" i="3"/>
  <c r="H29" i="4"/>
  <c r="N7" i="5"/>
  <c r="O7" i="5" s="1"/>
  <c r="Q10" i="5"/>
  <c r="F14" i="5"/>
  <c r="I14" i="5" s="1"/>
  <c r="F16" i="7"/>
  <c r="F23" i="7"/>
  <c r="L23" i="7" s="1"/>
  <c r="O28" i="7"/>
  <c r="I27" i="3"/>
  <c r="Q27" i="3"/>
  <c r="N27" i="3"/>
  <c r="K16" i="7"/>
  <c r="K15" i="7"/>
  <c r="F12" i="2"/>
  <c r="F13" i="2"/>
  <c r="H12" i="2"/>
  <c r="H24" i="2"/>
  <c r="F24" i="2"/>
  <c r="I24" i="2" s="1"/>
  <c r="P8" i="3"/>
  <c r="M18" i="3"/>
  <c r="N18" i="3"/>
  <c r="H18" i="3"/>
  <c r="I18" i="3" s="1"/>
  <c r="M23" i="3"/>
  <c r="N23" i="3" s="1"/>
  <c r="F23" i="3"/>
  <c r="P23" i="3"/>
  <c r="H23" i="3"/>
  <c r="N18" i="5"/>
  <c r="K14" i="7"/>
  <c r="L14" i="7" s="1"/>
  <c r="F14" i="7"/>
  <c r="N14" i="7"/>
  <c r="Q14" i="7"/>
  <c r="R14" i="7" s="1"/>
  <c r="O27" i="7"/>
  <c r="H9" i="7"/>
  <c r="H8" i="7"/>
  <c r="F9" i="2"/>
  <c r="F18" i="3"/>
  <c r="H28" i="3"/>
  <c r="O18" i="4"/>
  <c r="L18" i="4"/>
  <c r="K28" i="7"/>
  <c r="L28" i="7" s="1"/>
  <c r="K27" i="7"/>
  <c r="L27" i="7" s="1"/>
  <c r="H19" i="2"/>
  <c r="F20" i="2"/>
  <c r="P16" i="3"/>
  <c r="Q16" i="3" s="1"/>
  <c r="H15" i="4"/>
  <c r="I28" i="4"/>
  <c r="O28" i="4"/>
  <c r="L28" i="4"/>
  <c r="O22" i="5"/>
  <c r="H14" i="7"/>
  <c r="H7" i="2"/>
  <c r="F7" i="2"/>
  <c r="F8" i="2"/>
  <c r="I8" i="2" s="1"/>
  <c r="F16" i="2"/>
  <c r="F19" i="2"/>
  <c r="H7" i="7"/>
  <c r="F8" i="7"/>
  <c r="K7" i="7"/>
  <c r="F7" i="7"/>
  <c r="Q7" i="7"/>
  <c r="N7" i="7"/>
  <c r="N13" i="7"/>
  <c r="H13" i="7"/>
  <c r="K13" i="7"/>
  <c r="Q13" i="7"/>
  <c r="F11" i="8"/>
  <c r="H11" i="8"/>
  <c r="F12" i="8"/>
  <c r="P18" i="3"/>
  <c r="Q18" i="3" s="1"/>
  <c r="L27" i="4"/>
  <c r="H19" i="7"/>
  <c r="F20" i="7"/>
  <c r="F19" i="7"/>
  <c r="Q19" i="7"/>
  <c r="N19" i="7"/>
  <c r="K19" i="7"/>
  <c r="K8" i="8"/>
  <c r="I16" i="2"/>
  <c r="H23" i="2"/>
  <c r="F27" i="2"/>
  <c r="H26" i="2"/>
  <c r="I26" i="2" s="1"/>
  <c r="O7" i="4"/>
  <c r="K12" i="5"/>
  <c r="Q14" i="5"/>
  <c r="F13" i="7"/>
  <c r="O13" i="7" s="1"/>
  <c r="K11" i="8"/>
  <c r="I24" i="8"/>
  <c r="L24" i="8"/>
  <c r="H11" i="2"/>
  <c r="I11" i="2" s="1"/>
  <c r="I7" i="3"/>
  <c r="M19" i="3"/>
  <c r="H19" i="3"/>
  <c r="P19" i="3"/>
  <c r="F24" i="3"/>
  <c r="O16" i="4"/>
  <c r="Q13" i="5"/>
  <c r="Q21" i="5"/>
  <c r="N25" i="7"/>
  <c r="H25" i="7"/>
  <c r="K25" i="7"/>
  <c r="F25" i="7"/>
  <c r="R25" i="7" s="1"/>
  <c r="F8" i="8"/>
  <c r="R23" i="5"/>
  <c r="K26" i="7"/>
  <c r="F26" i="7"/>
  <c r="N26" i="7"/>
  <c r="L26" i="7"/>
  <c r="H26" i="7"/>
  <c r="I26" i="7" s="1"/>
  <c r="Q26" i="7"/>
  <c r="R26" i="7" s="1"/>
  <c r="O26" i="7"/>
  <c r="I14" i="2"/>
  <c r="I26" i="4"/>
  <c r="I30" i="4"/>
  <c r="F15" i="7"/>
  <c r="H22" i="7"/>
  <c r="I22" i="7" s="1"/>
  <c r="H8" i="8"/>
  <c r="O19" i="4"/>
  <c r="N26" i="5"/>
  <c r="O26" i="5" s="1"/>
  <c r="K30" i="7"/>
  <c r="H30" i="7"/>
  <c r="F30" i="7"/>
  <c r="Q30" i="7"/>
  <c r="N30" i="7"/>
  <c r="O30" i="7" s="1"/>
  <c r="F15" i="8"/>
  <c r="L15" i="8" s="1"/>
  <c r="H14" i="8"/>
  <c r="F14" i="8"/>
  <c r="L14" i="8" s="1"/>
  <c r="F28" i="2"/>
  <c r="I28" i="2" s="1"/>
  <c r="F19" i="3"/>
  <c r="Q19" i="3" s="1"/>
  <c r="M28" i="3"/>
  <c r="P28" i="3"/>
  <c r="H8" i="5"/>
  <c r="L21" i="7"/>
  <c r="H22" i="8"/>
  <c r="F22" i="8"/>
  <c r="I22" i="8" s="1"/>
  <c r="F23" i="8"/>
  <c r="K22" i="8"/>
  <c r="L22" i="8" s="1"/>
  <c r="F9" i="8"/>
  <c r="K9" i="8"/>
  <c r="H9" i="8"/>
  <c r="K20" i="8"/>
  <c r="F21" i="8"/>
  <c r="F20" i="8"/>
  <c r="M26" i="3"/>
  <c r="H26" i="3"/>
  <c r="I25" i="4"/>
  <c r="N17" i="7"/>
  <c r="H17" i="7"/>
  <c r="F17" i="7"/>
  <c r="F18" i="7"/>
  <c r="R18" i="7" s="1"/>
  <c r="N29" i="7"/>
  <c r="K29" i="7"/>
  <c r="H29" i="7"/>
  <c r="F29" i="7"/>
  <c r="R29" i="7" s="1"/>
  <c r="F7" i="8"/>
  <c r="K26" i="8"/>
  <c r="F27" i="8"/>
  <c r="L27" i="8" s="1"/>
  <c r="H22" i="2"/>
  <c r="H29" i="2"/>
  <c r="K18" i="5"/>
  <c r="F18" i="5"/>
  <c r="Q18" i="5"/>
  <c r="Q30" i="5"/>
  <c r="Q29" i="5"/>
  <c r="K10" i="7"/>
  <c r="F10" i="7"/>
  <c r="Q10" i="7"/>
  <c r="H20" i="8"/>
  <c r="F10" i="2"/>
  <c r="H15" i="2"/>
  <c r="I15" i="2" s="1"/>
  <c r="F17" i="2"/>
  <c r="I17" i="2" s="1"/>
  <c r="F22" i="3"/>
  <c r="I22" i="3" s="1"/>
  <c r="F26" i="3"/>
  <c r="Q26" i="3" s="1"/>
  <c r="I11" i="4"/>
  <c r="I23" i="4"/>
  <c r="N24" i="5"/>
  <c r="R26" i="5"/>
  <c r="H23" i="7"/>
  <c r="Q23" i="7"/>
  <c r="O23" i="7"/>
  <c r="K23" i="7"/>
  <c r="F24" i="7"/>
  <c r="F26" i="8"/>
  <c r="H13" i="2"/>
  <c r="F22" i="2"/>
  <c r="I22" i="2" s="1"/>
  <c r="F29" i="2"/>
  <c r="I29" i="2" s="1"/>
  <c r="F21" i="3"/>
  <c r="M29" i="3"/>
  <c r="F29" i="3"/>
  <c r="F30" i="3"/>
  <c r="N17" i="5"/>
  <c r="Q17" i="5"/>
  <c r="R17" i="5" s="1"/>
  <c r="F17" i="5"/>
  <c r="R25" i="5"/>
  <c r="H26" i="8"/>
  <c r="F13" i="8"/>
  <c r="I13" i="8" s="1"/>
  <c r="F25" i="8"/>
  <c r="I25" i="8" s="1"/>
  <c r="M17" i="3"/>
  <c r="F17" i="3"/>
  <c r="I17" i="3" s="1"/>
  <c r="H10" i="2"/>
  <c r="H25" i="2"/>
  <c r="F25" i="2"/>
  <c r="I25" i="2" s="1"/>
  <c r="M25" i="3"/>
  <c r="F25" i="3"/>
  <c r="N25" i="3" s="1"/>
  <c r="I21" i="4"/>
  <c r="K17" i="7"/>
  <c r="F18" i="2"/>
  <c r="I18" i="2" s="1"/>
  <c r="M20" i="3"/>
  <c r="I20" i="3"/>
  <c r="Q20" i="3"/>
  <c r="N20" i="3"/>
  <c r="L25" i="4"/>
  <c r="F16" i="5"/>
  <c r="Q16" i="5"/>
  <c r="H16" i="5"/>
  <c r="F16" i="8"/>
  <c r="L16" i="8" s="1"/>
  <c r="F8" i="5"/>
  <c r="Q8" i="5"/>
  <c r="K10" i="5"/>
  <c r="L10" i="5" s="1"/>
  <c r="H10" i="5"/>
  <c r="N20" i="5"/>
  <c r="H7" i="5"/>
  <c r="I7" i="5" s="1"/>
  <c r="L7" i="5"/>
  <c r="N9" i="5"/>
  <c r="H11" i="5"/>
  <c r="N11" i="7"/>
  <c r="Q18" i="7"/>
  <c r="F19" i="8"/>
  <c r="K18" i="8"/>
  <c r="L18" i="8" s="1"/>
  <c r="H27" i="2"/>
  <c r="M24" i="3"/>
  <c r="P24" i="3"/>
  <c r="P30" i="3"/>
  <c r="F12" i="5"/>
  <c r="Q12" i="5"/>
  <c r="N13" i="5"/>
  <c r="F13" i="5"/>
  <c r="K14" i="5"/>
  <c r="H19" i="5"/>
  <c r="F20" i="5"/>
  <c r="Q20" i="5"/>
  <c r="N21" i="5"/>
  <c r="K22" i="5"/>
  <c r="Q11" i="7"/>
  <c r="H30" i="8"/>
  <c r="H21" i="2"/>
  <c r="M22" i="3"/>
  <c r="H9" i="5"/>
  <c r="H13" i="5"/>
  <c r="H23" i="5"/>
  <c r="I23" i="5" s="1"/>
  <c r="L23" i="5"/>
  <c r="F24" i="5"/>
  <c r="Q24" i="5"/>
  <c r="N25" i="5"/>
  <c r="O25" i="5" s="1"/>
  <c r="I25" i="5"/>
  <c r="K26" i="5"/>
  <c r="L26" i="5" s="1"/>
  <c r="H26" i="5"/>
  <c r="I26" i="5" s="1"/>
  <c r="H27" i="5"/>
  <c r="I27" i="5" s="1"/>
  <c r="H18" i="7"/>
  <c r="I18" i="8"/>
  <c r="K28" i="8"/>
  <c r="L28" i="8" s="1"/>
  <c r="I28" i="8"/>
  <c r="K7" i="5"/>
  <c r="K11" i="5"/>
  <c r="F19" i="5"/>
  <c r="O19" i="5" s="1"/>
  <c r="F21" i="5"/>
  <c r="F22" i="5"/>
  <c r="F28" i="5"/>
  <c r="Q28" i="5"/>
  <c r="N29" i="5"/>
  <c r="F29" i="5"/>
  <c r="O29" i="5" s="1"/>
  <c r="K30" i="5"/>
  <c r="L30" i="5" s="1"/>
  <c r="R30" i="5"/>
  <c r="F11" i="7"/>
  <c r="N16" i="7"/>
  <c r="O16" i="7" s="1"/>
  <c r="K22" i="7"/>
  <c r="L22" i="7" s="1"/>
  <c r="O22" i="7"/>
  <c r="R22" i="7"/>
  <c r="H10" i="8"/>
  <c r="F10" i="8"/>
  <c r="K16" i="8"/>
  <c r="F30" i="8"/>
  <c r="L30" i="8" s="1"/>
  <c r="H15" i="5"/>
  <c r="I15" i="5" s="1"/>
  <c r="R15" i="5"/>
  <c r="N9" i="7"/>
  <c r="O9" i="7" s="1"/>
  <c r="Q9" i="7"/>
  <c r="R9" i="7" s="1"/>
  <c r="H15" i="7"/>
  <c r="Q15" i="7"/>
  <c r="N21" i="7"/>
  <c r="O21" i="7" s="1"/>
  <c r="Q21" i="7"/>
  <c r="R21" i="7" s="1"/>
  <c r="H27" i="7"/>
  <c r="I27" i="7" s="1"/>
  <c r="Q27" i="7"/>
  <c r="R27" i="7" s="1"/>
  <c r="K13" i="8"/>
  <c r="H15" i="8"/>
  <c r="F17" i="8"/>
  <c r="K25" i="8"/>
  <c r="H27" i="8"/>
  <c r="F29" i="8"/>
  <c r="Q28" i="3" l="1"/>
  <c r="L9" i="5"/>
  <c r="L14" i="5"/>
  <c r="I18" i="7"/>
  <c r="O13" i="5"/>
  <c r="O16" i="5"/>
  <c r="O17" i="5"/>
  <c r="N28" i="3"/>
  <c r="N12" i="3"/>
  <c r="L29" i="4"/>
  <c r="O10" i="5"/>
  <c r="R14" i="5"/>
  <c r="I20" i="2"/>
  <c r="Q23" i="3"/>
  <c r="I15" i="3"/>
  <c r="N19" i="3"/>
  <c r="I29" i="4"/>
  <c r="R7" i="7"/>
  <c r="I12" i="3"/>
  <c r="I15" i="8"/>
  <c r="O9" i="5"/>
  <c r="L9" i="8"/>
  <c r="I23" i="2"/>
  <c r="L15" i="5"/>
  <c r="I14" i="4"/>
  <c r="O27" i="5"/>
  <c r="I18" i="4"/>
  <c r="I7" i="2"/>
  <c r="I30" i="8"/>
  <c r="R23" i="7"/>
  <c r="I12" i="4"/>
  <c r="L17" i="4"/>
  <c r="L12" i="4"/>
  <c r="Q11" i="3"/>
  <c r="I8" i="4"/>
  <c r="I9" i="5"/>
  <c r="L19" i="4"/>
  <c r="I9" i="2"/>
  <c r="L8" i="4"/>
  <c r="L9" i="4"/>
  <c r="L41" i="4" s="1"/>
  <c r="L42" i="4" s="1"/>
  <c r="I27" i="2"/>
  <c r="I21" i="2"/>
  <c r="I22" i="5"/>
  <c r="Q7" i="3"/>
  <c r="O17" i="4"/>
  <c r="I9" i="7"/>
  <c r="N8" i="3"/>
  <c r="R7" i="5"/>
  <c r="L30" i="4"/>
  <c r="R11" i="5"/>
  <c r="I13" i="4"/>
  <c r="I26" i="8"/>
  <c r="I11" i="5"/>
  <c r="I28" i="3"/>
  <c r="O30" i="5"/>
  <c r="I10" i="5"/>
  <c r="I23" i="7"/>
  <c r="L20" i="4"/>
  <c r="L11" i="5"/>
  <c r="L16" i="7"/>
  <c r="I8" i="3"/>
  <c r="R13" i="7"/>
  <c r="F41" i="5"/>
  <c r="F42" i="5" s="1"/>
  <c r="N10" i="3"/>
  <c r="I30" i="5"/>
  <c r="I14" i="7"/>
  <c r="L8" i="8"/>
  <c r="O11" i="7"/>
  <c r="I9" i="8"/>
  <c r="I12" i="2"/>
  <c r="Q10" i="3"/>
  <c r="I27" i="8"/>
  <c r="R16" i="5"/>
  <c r="O14" i="7"/>
  <c r="L15" i="4"/>
  <c r="I10" i="4"/>
  <c r="O10" i="4"/>
  <c r="I13" i="3"/>
  <c r="O13" i="4"/>
  <c r="I15" i="4"/>
  <c r="I29" i="7"/>
  <c r="O27" i="4"/>
  <c r="Q13" i="3"/>
  <c r="R28" i="5"/>
  <c r="O29" i="7"/>
  <c r="N22" i="3"/>
  <c r="R19" i="7"/>
  <c r="I23" i="3"/>
  <c r="I10" i="2"/>
  <c r="I16" i="7"/>
  <c r="R16" i="7"/>
  <c r="L26" i="8"/>
  <c r="L22" i="4"/>
  <c r="O22" i="4"/>
  <c r="Q12" i="3"/>
  <c r="N15" i="3"/>
  <c r="I26" i="3"/>
  <c r="F41" i="4"/>
  <c r="F42" i="4" s="1"/>
  <c r="O14" i="5"/>
  <c r="I19" i="2"/>
  <c r="I16" i="3"/>
  <c r="Q15" i="3"/>
  <c r="L29" i="7"/>
  <c r="N26" i="3"/>
  <c r="Q22" i="3"/>
  <c r="L11" i="8"/>
  <c r="O9" i="4"/>
  <c r="R11" i="7"/>
  <c r="L20" i="8"/>
  <c r="I13" i="7"/>
  <c r="Q8" i="3"/>
  <c r="I16" i="8"/>
  <c r="I19" i="5"/>
  <c r="L18" i="5"/>
  <c r="L30" i="7"/>
  <c r="L13" i="7"/>
  <c r="L10" i="4"/>
  <c r="I9" i="3"/>
  <c r="I29" i="8"/>
  <c r="L29" i="8"/>
  <c r="L20" i="5"/>
  <c r="I20" i="5"/>
  <c r="O24" i="5"/>
  <c r="L24" i="5"/>
  <c r="I24" i="5"/>
  <c r="R20" i="5"/>
  <c r="Q17" i="3"/>
  <c r="F41" i="3"/>
  <c r="F42" i="3" s="1"/>
  <c r="F40" i="7"/>
  <c r="F41" i="7" s="1"/>
  <c r="I12" i="5"/>
  <c r="L12" i="5"/>
  <c r="O12" i="5"/>
  <c r="R20" i="7"/>
  <c r="O20" i="7"/>
  <c r="I20" i="7"/>
  <c r="L20" i="7"/>
  <c r="Q24" i="3"/>
  <c r="N24" i="3"/>
  <c r="I24" i="3"/>
  <c r="I7" i="7"/>
  <c r="R21" i="5"/>
  <c r="I21" i="5"/>
  <c r="I10" i="7"/>
  <c r="R10" i="7"/>
  <c r="L10" i="7"/>
  <c r="L18" i="7"/>
  <c r="O18" i="7"/>
  <c r="R17" i="7"/>
  <c r="O17" i="7"/>
  <c r="I23" i="8"/>
  <c r="L23" i="8"/>
  <c r="I30" i="7"/>
  <c r="I21" i="8"/>
  <c r="L21" i="8"/>
  <c r="I19" i="3"/>
  <c r="I14" i="8"/>
  <c r="L21" i="5"/>
  <c r="N17" i="3"/>
  <c r="L17" i="5"/>
  <c r="I17" i="5"/>
  <c r="I17" i="7"/>
  <c r="I20" i="8"/>
  <c r="L19" i="7"/>
  <c r="L12" i="8"/>
  <c r="I12" i="8"/>
  <c r="F41" i="2"/>
  <c r="F42" i="2" s="1"/>
  <c r="L13" i="8"/>
  <c r="I8" i="5"/>
  <c r="L19" i="8"/>
  <c r="I19" i="8"/>
  <c r="I24" i="7"/>
  <c r="O24" i="7"/>
  <c r="L24" i="7"/>
  <c r="R24" i="7"/>
  <c r="L17" i="7"/>
  <c r="O20" i="5"/>
  <c r="O28" i="5"/>
  <c r="L28" i="5"/>
  <c r="I28" i="5"/>
  <c r="Q29" i="3"/>
  <c r="I29" i="3"/>
  <c r="N29" i="3"/>
  <c r="R12" i="5"/>
  <c r="I8" i="8"/>
  <c r="L7" i="7"/>
  <c r="L25" i="8"/>
  <c r="R22" i="5"/>
  <c r="L25" i="7"/>
  <c r="R30" i="7"/>
  <c r="L19" i="5"/>
  <c r="R19" i="5"/>
  <c r="Q25" i="3"/>
  <c r="R29" i="5"/>
  <c r="L29" i="5"/>
  <c r="I29" i="5"/>
  <c r="O21" i="5"/>
  <c r="I13" i="5"/>
  <c r="R13" i="5"/>
  <c r="L13" i="5"/>
  <c r="F41" i="8"/>
  <c r="F42" i="8" s="1"/>
  <c r="L7" i="8"/>
  <c r="I7" i="8"/>
  <c r="O19" i="7"/>
  <c r="I11" i="8"/>
  <c r="O7" i="7"/>
  <c r="I13" i="2"/>
  <c r="Q30" i="3"/>
  <c r="N30" i="3"/>
  <c r="I30" i="3"/>
  <c r="I19" i="7"/>
  <c r="R24" i="5"/>
  <c r="L15" i="7"/>
  <c r="I15" i="7"/>
  <c r="O15" i="7"/>
  <c r="R15" i="7"/>
  <c r="O8" i="5"/>
  <c r="O41" i="5" s="1"/>
  <c r="O42" i="5" s="1"/>
  <c r="L8" i="5"/>
  <c r="Q21" i="3"/>
  <c r="N21" i="3"/>
  <c r="I21" i="3"/>
  <c r="I25" i="7"/>
  <c r="L17" i="8"/>
  <c r="I17" i="8"/>
  <c r="R8" i="5"/>
  <c r="I25" i="3"/>
  <c r="I8" i="7"/>
  <c r="R8" i="7"/>
  <c r="O8" i="7"/>
  <c r="L8" i="7"/>
  <c r="I11" i="7"/>
  <c r="L11" i="7"/>
  <c r="O10" i="7"/>
  <c r="O25" i="7"/>
  <c r="L22" i="5"/>
  <c r="I10" i="8"/>
  <c r="L10" i="8"/>
  <c r="L16" i="5"/>
  <c r="I16" i="5"/>
  <c r="I18" i="5"/>
  <c r="R18" i="5"/>
  <c r="O18" i="5"/>
  <c r="I41" i="5" l="1"/>
  <c r="I42" i="5" s="1"/>
  <c r="Q41" i="3"/>
  <c r="Q42" i="3" s="1"/>
  <c r="O41" i="4"/>
  <c r="O42" i="4" s="1"/>
  <c r="I41" i="4"/>
  <c r="I42" i="4" s="1"/>
  <c r="L41" i="5"/>
  <c r="L42" i="5" s="1"/>
  <c r="E13" i="6"/>
  <c r="G13" i="6" s="1"/>
  <c r="F10" i="1"/>
  <c r="I41" i="3"/>
  <c r="I42" i="3" s="1"/>
  <c r="I41" i="2"/>
  <c r="I42" i="2" s="1"/>
  <c r="R40" i="7"/>
  <c r="R41" i="7" s="1"/>
  <c r="E17" i="6"/>
  <c r="G17" i="6" s="1"/>
  <c r="F13" i="1"/>
  <c r="F9" i="1"/>
  <c r="E11" i="6"/>
  <c r="G11" i="6" s="1"/>
  <c r="E9" i="6"/>
  <c r="G9" i="6" s="1"/>
  <c r="F7" i="1"/>
  <c r="E5" i="6"/>
  <c r="G5" i="6" s="1"/>
  <c r="H5" i="6" s="1"/>
  <c r="E26" i="6" s="1"/>
  <c r="F5" i="1"/>
  <c r="E18" i="6"/>
  <c r="G18" i="6" s="1"/>
  <c r="F14" i="1"/>
  <c r="E19" i="6"/>
  <c r="G19" i="6" s="1"/>
  <c r="F15" i="1"/>
  <c r="R41" i="5"/>
  <c r="R42" i="5" s="1"/>
  <c r="N41" i="3"/>
  <c r="N42" i="3" s="1"/>
  <c r="I41" i="8"/>
  <c r="I42" i="8" s="1"/>
  <c r="G5" i="9" s="1"/>
  <c r="G48" i="9" s="1"/>
  <c r="F23" i="1" s="1"/>
  <c r="L41" i="8"/>
  <c r="L42" i="8" s="1"/>
  <c r="I5" i="9" s="1"/>
  <c r="I48" i="9" s="1"/>
  <c r="F25" i="1" s="1"/>
  <c r="F11" i="1"/>
  <c r="E14" i="6"/>
  <c r="G14" i="6" s="1"/>
  <c r="O40" i="7"/>
  <c r="O41" i="7" s="1"/>
  <c r="L40" i="7"/>
  <c r="L41" i="7" s="1"/>
  <c r="F12" i="1"/>
  <c r="E15" i="6"/>
  <c r="G15" i="6" s="1"/>
  <c r="I40" i="7"/>
  <c r="I41" i="7" s="1"/>
  <c r="L42" i="7" s="1"/>
  <c r="F20" i="1" s="1"/>
  <c r="R42" i="7" l="1"/>
  <c r="F21" i="1" s="1"/>
  <c r="E21" i="6"/>
  <c r="G21" i="6" s="1"/>
  <c r="F16" i="1"/>
  <c r="F26" i="1"/>
  <c r="E10" i="6"/>
  <c r="G10" i="6" s="1"/>
  <c r="H9" i="6" s="1"/>
  <c r="C26" i="6" s="1"/>
  <c r="G26" i="6" s="1"/>
  <c r="F18" i="1" s="1"/>
  <c r="F8" i="1"/>
</calcChain>
</file>

<file path=xl/sharedStrings.xml><?xml version="1.0" encoding="utf-8"?>
<sst xmlns="http://schemas.openxmlformats.org/spreadsheetml/2006/main" count="1208" uniqueCount="159">
  <si>
    <t xml:space="preserve"> 道路土工　数量集計表 </t>
  </si>
  <si>
    <t>本線(改良)</t>
  </si>
  <si>
    <t>種　別</t>
  </si>
  <si>
    <t>細　　　別</t>
  </si>
  <si>
    <t>規　　　格</t>
  </si>
  <si>
    <t>単位</t>
  </si>
  <si>
    <t>数　量</t>
  </si>
  <si>
    <t>摘　要</t>
  </si>
  <si>
    <t>掘削工</t>
  </si>
  <si>
    <t>オープン掘削</t>
  </si>
  <si>
    <t>土砂</t>
  </si>
  <si>
    <t>m3</t>
  </si>
  <si>
    <t>CA1</t>
  </si>
  <si>
    <t>盛土工</t>
  </si>
  <si>
    <t>路体盛土</t>
  </si>
  <si>
    <t>W＜2.5m</t>
  </si>
  <si>
    <t>BA1-1</t>
  </si>
  <si>
    <t>2.5m≦W＜4.0m</t>
  </si>
  <si>
    <t>BA1-2</t>
  </si>
  <si>
    <t>4.0m≦W</t>
  </si>
  <si>
    <t>BA1-3</t>
  </si>
  <si>
    <t>路床盛土</t>
  </si>
  <si>
    <t>BA2-1</t>
  </si>
  <si>
    <t>BA2-2</t>
  </si>
  <si>
    <t>BA2-3</t>
  </si>
  <si>
    <t>路体外盛土</t>
  </si>
  <si>
    <t>BA4-1</t>
  </si>
  <si>
    <t>BA4-2</t>
  </si>
  <si>
    <t>BA4-3</t>
  </si>
  <si>
    <t>畦畔盛土</t>
  </si>
  <si>
    <t>BA5</t>
  </si>
  <si>
    <t>不足土</t>
  </si>
  <si>
    <t>法面整形工</t>
  </si>
  <si>
    <t>切土法面整形</t>
  </si>
  <si>
    <t>m2</t>
  </si>
  <si>
    <t>CL1</t>
  </si>
  <si>
    <t>盛土法面整形</t>
  </si>
  <si>
    <t>BL1</t>
  </si>
  <si>
    <t>作業土工</t>
  </si>
  <si>
    <t>床掘</t>
  </si>
  <si>
    <t>埋戻</t>
  </si>
  <si>
    <t>C</t>
  </si>
  <si>
    <t>D</t>
  </si>
  <si>
    <t>残土</t>
  </si>
  <si>
    <t>変化率C=0.9</t>
  </si>
  <si>
    <t>土　量　計  算  書</t>
  </si>
  <si>
    <t xml:space="preserve">      測     点</t>
  </si>
  <si>
    <t>距   離</t>
  </si>
  <si>
    <t>断面積</t>
  </si>
  <si>
    <t>平均断面積</t>
  </si>
  <si>
    <t>土　量</t>
  </si>
  <si>
    <t xml:space="preserve">   測点間隔</t>
  </si>
  <si>
    <t>(m)</t>
  </si>
  <si>
    <t>(m2)</t>
  </si>
  <si>
    <t>(m3)</t>
  </si>
  <si>
    <t xml:space="preserve"> NO.</t>
  </si>
  <si>
    <t>+</t>
  </si>
  <si>
    <t>小</t>
  </si>
  <si>
    <t>計</t>
  </si>
  <si>
    <t>細　　別</t>
  </si>
  <si>
    <t>規　格</t>
  </si>
  <si>
    <t>数　　量</t>
  </si>
  <si>
    <t>変化率</t>
  </si>
  <si>
    <t>地山土量</t>
  </si>
  <si>
    <t>掘削合計</t>
  </si>
  <si>
    <t>盛土合計</t>
  </si>
  <si>
    <t>W&lt;2.5</t>
  </si>
  <si>
    <t>2.5≦W&lt;4.0</t>
  </si>
  <si>
    <t>4.0≦W</t>
  </si>
  <si>
    <t>-</t>
  </si>
  <si>
    <t>=</t>
  </si>
  <si>
    <t>法　面　積　計  算  書</t>
  </si>
  <si>
    <t>法　長</t>
  </si>
  <si>
    <t>平均法長</t>
  </si>
  <si>
    <t>法面積</t>
  </si>
  <si>
    <t>合</t>
  </si>
  <si>
    <t>左右</t>
  </si>
  <si>
    <t>土 量 計 算 書（作 業 土 工)</t>
  </si>
  <si>
    <t>埋戻(D)</t>
  </si>
  <si>
    <t>作業土工名称</t>
  </si>
  <si>
    <t>数量</t>
  </si>
  <si>
    <t>単位数量 1m(箇所)当り</t>
  </si>
  <si>
    <t>実数量</t>
  </si>
  <si>
    <t>埋戻C</t>
  </si>
  <si>
    <t>埋戻D</t>
  </si>
  <si>
    <t>ｍ3</t>
  </si>
  <si>
    <t>本線(側溝類)</t>
  </si>
  <si>
    <t>式</t>
  </si>
  <si>
    <t>BFB-B500-H420</t>
  </si>
  <si>
    <t>m</t>
  </si>
  <si>
    <t>US9-B1200-H1200</t>
  </si>
  <si>
    <t>US9-B1200-H1300</t>
  </si>
  <si>
    <t>US9-B1200-H1400</t>
  </si>
  <si>
    <t>US9-B1200-H1700</t>
  </si>
  <si>
    <t>BOX-B1600-H1400</t>
  </si>
  <si>
    <t>耐圧ポリ管φ400</t>
  </si>
  <si>
    <t>耐圧ポリ管φ600</t>
  </si>
  <si>
    <t>耐圧ポリ管φ1200</t>
  </si>
  <si>
    <t>耐圧ポリ管φ1500</t>
  </si>
  <si>
    <t>耐圧ポリ管φ1650</t>
  </si>
  <si>
    <t>SM-B700-L700-H500</t>
  </si>
  <si>
    <t>SM-B700-L700-H600</t>
  </si>
  <si>
    <t>SM-B700-L700-H700</t>
  </si>
  <si>
    <t>SM-B700-L700-H800</t>
  </si>
  <si>
    <t>SM-B700-L700-H1000</t>
  </si>
  <si>
    <t>箇所</t>
  </si>
  <si>
    <t>SM-B700-L700-H1400</t>
  </si>
  <si>
    <t>SM-B900-L900-H700</t>
  </si>
  <si>
    <t>SM-B900-L900-H800</t>
  </si>
  <si>
    <t>SM-B900-L900-H1000</t>
  </si>
  <si>
    <t>SM-B900-L900-H1100</t>
  </si>
  <si>
    <t>SM-B900-L900-H1400</t>
  </si>
  <si>
    <t>SM-B1200-L1200-H800</t>
  </si>
  <si>
    <t>SM-B1200-L2100-H1900</t>
  </si>
  <si>
    <t>SM-B1200-L2100-H2100</t>
  </si>
  <si>
    <t>SM-B1500-L2100-H2100</t>
  </si>
  <si>
    <t>SM-B1600-L1600-H1400</t>
  </si>
  <si>
    <t>SM-B1600-L1600-H1500</t>
  </si>
  <si>
    <t>SM-B1600-L1600-H1600</t>
  </si>
  <si>
    <t>SM-B1600-L1600-H2100</t>
  </si>
  <si>
    <t>SM-B1900-L1900-H2000</t>
  </si>
  <si>
    <t>SM-B1900-L2100-H1900</t>
  </si>
  <si>
    <t>たて溝BF300</t>
  </si>
  <si>
    <t>合計</t>
  </si>
  <si>
    <t>セル
番号</t>
  </si>
  <si>
    <t>入力</t>
  </si>
  <si>
    <t>判定</t>
  </si>
  <si>
    <t>切土法面整形(左)</t>
  </si>
  <si>
    <t>切土法面整形(右)</t>
  </si>
  <si>
    <t>盛土法面整形(左)</t>
  </si>
  <si>
    <t>盛土法面整形(右)</t>
  </si>
  <si>
    <t>法長</t>
  </si>
  <si>
    <t>(㎡)</t>
  </si>
  <si>
    <t>セル番号</t>
  </si>
  <si>
    <t>測点</t>
  </si>
  <si>
    <t>オープン掘削</t>
    <phoneticPr fontId="24"/>
  </si>
  <si>
    <t>路肩盛土</t>
    <phoneticPr fontId="24"/>
  </si>
  <si>
    <t>路体盛土
(W＜2.5m)</t>
    <phoneticPr fontId="24"/>
  </si>
  <si>
    <t>路体盛土
(2.5m≦W＜4.0m)</t>
    <phoneticPr fontId="24"/>
  </si>
  <si>
    <t>路体盛土
(4.0m≦W)</t>
    <phoneticPr fontId="24"/>
  </si>
  <si>
    <t>路床盛土
(W＜2.5m)</t>
    <phoneticPr fontId="24"/>
  </si>
  <si>
    <t>路床盛土
(2.5m≦W＜4.0m)</t>
    <phoneticPr fontId="24"/>
  </si>
  <si>
    <t>路床盛土
(4.0m≦W)</t>
    <phoneticPr fontId="24"/>
  </si>
  <si>
    <t>路体外盛土
(W＜2.5m)</t>
    <phoneticPr fontId="24"/>
  </si>
  <si>
    <t>路体外盛土
(2.5m≦W＜4.0m)</t>
    <phoneticPr fontId="24"/>
  </si>
  <si>
    <t>路体外盛土
(4.0m≦W)</t>
    <phoneticPr fontId="24"/>
  </si>
  <si>
    <t>断面積</t>
    <phoneticPr fontId="24"/>
  </si>
  <si>
    <t>(㎡)</t>
    <phoneticPr fontId="24"/>
  </si>
  <si>
    <t>埋戻(C)</t>
  </si>
  <si>
    <t>CA</t>
    <phoneticPr fontId="24"/>
  </si>
  <si>
    <t>BA</t>
    <phoneticPr fontId="24"/>
  </si>
  <si>
    <t>CL</t>
    <phoneticPr fontId="24"/>
  </si>
  <si>
    <t>BL</t>
    <phoneticPr fontId="24"/>
  </si>
  <si>
    <t>掘削</t>
    <phoneticPr fontId="24"/>
  </si>
  <si>
    <t>盛土①</t>
    <phoneticPr fontId="24"/>
  </si>
  <si>
    <t>盛土②</t>
    <phoneticPr fontId="24"/>
  </si>
  <si>
    <t>盛土③</t>
    <phoneticPr fontId="24"/>
  </si>
  <si>
    <t>法面</t>
    <phoneticPr fontId="24"/>
  </si>
  <si>
    <t>作業土工</t>
    <phoneticPr fontId="2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</si>
</sst>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6" formatCode="&quot;¥&quot;#,##0;[Red]&quot;¥&quot;\-#,##0"/>
    <numFmt numFmtId="176" formatCode="#,##0.0;[Red]\-#,##0.0"/>
    <numFmt numFmtId="177" formatCode="0.000"/>
    <numFmt numFmtId="178" formatCode="0.0"/>
    <numFmt numFmtId="179" formatCode="&quot;NO.&quot;0"/>
    <numFmt numFmtId="180" formatCode="#,##0.0_ "/>
    <numFmt numFmtId="181" formatCode="#,##0.0_ ;[Red]\-#,##0.0\ "/>
    <numFmt numFmtId="182" formatCode="_ * #,##0.0_ ;_ * \-#,##0.0_ ;_ * &quot;-&quot;?_ ;_ @_ "/>
    <numFmt numFmtId="183" formatCode="_ * #,##0.00_ ;_ * \-#,##0.00_ ;_ * &quot;-&quot;?_ ;_ @_ "/>
    <numFmt numFmtId="184" formatCode="#,##0_);[Red]\(#,##0\)"/>
    <numFmt numFmtId="185" formatCode="0.00_ "/>
    <numFmt numFmtId="186" formatCode="#,##0.0_);[Red]\(#,##0.0\)"/>
    <numFmt numFmtId="187" formatCode="0.0_);[Red]\(0.0\)"/>
    <numFmt numFmtId="188" formatCode="0.00_);[Red]\(0.00\)"/>
    <numFmt numFmtId="189" formatCode="0\ &quot;ｔ&quot;"/>
    <numFmt numFmtId="190" formatCode="000\-0000000"/>
    <numFmt numFmtId="191" formatCode="__?"/>
  </numFmts>
  <fonts count="31">
    <font>
      <sz val="10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ゴシック"/>
      <family val="3"/>
      <charset val="128"/>
    </font>
    <font>
      <b/>
      <sz val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sz val="11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6"/>
      <name val="Times New Roman"/>
      <family val="1"/>
    </font>
    <font>
      <sz val="11"/>
      <name val="ＭＳ Ｐゴシック"/>
      <family val="3"/>
      <charset val="128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9"/>
      <name val="Times New Roman"/>
      <family val="1"/>
    </font>
    <font>
      <sz val="10"/>
      <name val="ＭＳ 明朝"/>
      <family val="1"/>
      <charset val="128"/>
    </font>
    <font>
      <sz val="8"/>
      <name val="ＭＳ ゴシック"/>
      <family val="3"/>
      <charset val="128"/>
    </font>
    <font>
      <sz val="14"/>
      <name val="ＭＳ 明朝"/>
      <family val="1"/>
      <charset val="128"/>
    </font>
    <font>
      <sz val="10"/>
      <name val="ﾀﾞｯﾁ"/>
      <family val="1"/>
      <charset val="128"/>
    </font>
    <font>
      <sz val="6"/>
      <name val="ＭＳ 明朝"/>
      <family val="1"/>
      <charset val="128"/>
    </font>
    <font>
      <sz val="8"/>
      <name val="ＭＳ 明朝"/>
      <family val="1"/>
      <charset val="128"/>
    </font>
    <font>
      <sz val="11"/>
      <name val="明朝"/>
      <family val="3"/>
      <charset val="128"/>
    </font>
    <font>
      <b/>
      <u/>
      <sz val="1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0"/>
      <color rgb="FFFF0000"/>
      <name val="ＭＳ ゴシック"/>
      <family val="3"/>
      <charset val="128"/>
    </font>
    <font>
      <sz val="9"/>
      <name val="ＭＳ ゴシック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</fills>
  <borders count="9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hair">
        <color indexed="64"/>
      </right>
      <top/>
      <bottom style="hair">
        <color indexed="64"/>
      </bottom>
      <diagonal/>
    </border>
    <border>
      <left style="double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33">
    <xf numFmtId="1" fontId="0" fillId="0" borderId="0"/>
    <xf numFmtId="49" fontId="8" fillId="0" borderId="1"/>
    <xf numFmtId="49" fontId="8" fillId="0" borderId="1"/>
    <xf numFmtId="189" fontId="1" fillId="0" borderId="0"/>
    <xf numFmtId="0" fontId="9" fillId="0" borderId="0">
      <alignment horizontal="left"/>
    </xf>
    <xf numFmtId="38" fontId="10" fillId="2" borderId="0"/>
    <xf numFmtId="0" fontId="11" fillId="0" borderId="2">
      <alignment horizontal="left" vertical="center"/>
    </xf>
    <xf numFmtId="0" fontId="11" fillId="0" borderId="1">
      <alignment horizontal="left" vertical="center"/>
    </xf>
    <xf numFmtId="10" fontId="10" fillId="3" borderId="3"/>
    <xf numFmtId="49" fontId="12" fillId="0" borderId="2">
      <alignment horizontal="centerContinuous"/>
    </xf>
    <xf numFmtId="49" fontId="8" fillId="0" borderId="4">
      <alignment horizontal="left"/>
    </xf>
    <xf numFmtId="190" fontId="13" fillId="0" borderId="0"/>
    <xf numFmtId="0" fontId="14" fillId="0" borderId="0"/>
    <xf numFmtId="10" fontId="14" fillId="0" borderId="0"/>
    <xf numFmtId="4" fontId="9" fillId="0" borderId="0">
      <alignment horizontal="right"/>
    </xf>
    <xf numFmtId="0" fontId="15" fillId="0" borderId="0">
      <alignment horizontal="left"/>
    </xf>
    <xf numFmtId="0" fontId="16" fillId="0" borderId="5">
      <alignment horizontal="center"/>
    </xf>
    <xf numFmtId="4" fontId="17" fillId="0" borderId="0">
      <alignment horizontal="right"/>
    </xf>
    <xf numFmtId="0" fontId="18" fillId="0" borderId="0">
      <alignment horizontal="left"/>
    </xf>
    <xf numFmtId="0" fontId="19" fillId="0" borderId="0">
      <alignment horizontal="center"/>
    </xf>
    <xf numFmtId="0" fontId="20" fillId="0" borderId="6">
      <alignment vertical="center"/>
    </xf>
    <xf numFmtId="38" fontId="26" fillId="0" borderId="0"/>
    <xf numFmtId="38" fontId="13" fillId="0" borderId="0"/>
    <xf numFmtId="38" fontId="26" fillId="0" borderId="0"/>
    <xf numFmtId="191" fontId="21" fillId="0" borderId="7">
      <protection locked="0"/>
    </xf>
    <xf numFmtId="6" fontId="26" fillId="0" borderId="0"/>
    <xf numFmtId="0" fontId="13" fillId="0" borderId="0">
      <alignment vertical="center"/>
    </xf>
    <xf numFmtId="0" fontId="13" fillId="0" borderId="0"/>
    <xf numFmtId="0" fontId="28" fillId="0" borderId="0">
      <alignment vertical="center"/>
    </xf>
    <xf numFmtId="0" fontId="13" fillId="0" borderId="0"/>
    <xf numFmtId="0" fontId="8" fillId="0" borderId="0"/>
    <xf numFmtId="0" fontId="22" fillId="0" borderId="0"/>
    <xf numFmtId="0" fontId="23" fillId="0" borderId="0">
      <alignment vertical="center"/>
    </xf>
  </cellStyleXfs>
  <cellXfs count="282">
    <xf numFmtId="1" fontId="0" fillId="0" borderId="0" xfId="0"/>
    <xf numFmtId="176" fontId="1" fillId="0" borderId="8" xfId="21" applyNumberFormat="1" applyFont="1" applyBorder="1"/>
    <xf numFmtId="176" fontId="1" fillId="0" borderId="9" xfId="21" applyNumberFormat="1" applyFont="1" applyBorder="1"/>
    <xf numFmtId="1" fontId="3" fillId="0" borderId="0" xfId="0" applyFont="1" applyAlignment="1">
      <alignment horizontal="centerContinuous"/>
    </xf>
    <xf numFmtId="1" fontId="1" fillId="0" borderId="0" xfId="0" applyFont="1"/>
    <xf numFmtId="1" fontId="1" fillId="0" borderId="10" xfId="0" applyFont="1" applyBorder="1" applyAlignment="1">
      <alignment horizontal="left"/>
    </xf>
    <xf numFmtId="1" fontId="1" fillId="0" borderId="11" xfId="0" applyFont="1" applyBorder="1"/>
    <xf numFmtId="177" fontId="1" fillId="0" borderId="12" xfId="0" applyNumberFormat="1" applyFont="1" applyBorder="1" applyAlignment="1">
      <alignment horizontal="center"/>
    </xf>
    <xf numFmtId="1" fontId="1" fillId="0" borderId="13" xfId="0" applyFont="1" applyBorder="1"/>
    <xf numFmtId="1" fontId="1" fillId="0" borderId="14" xfId="0" applyFont="1" applyBorder="1"/>
    <xf numFmtId="177" fontId="1" fillId="0" borderId="15" xfId="0" applyNumberFormat="1" applyFont="1" applyBorder="1"/>
    <xf numFmtId="2" fontId="1" fillId="0" borderId="16" xfId="0" applyNumberFormat="1" applyFont="1" applyBorder="1" applyAlignment="1">
      <alignment horizontal="center"/>
    </xf>
    <xf numFmtId="1" fontId="1" fillId="0" borderId="15" xfId="0" applyFont="1" applyBorder="1" applyAlignment="1">
      <alignment horizontal="center"/>
    </xf>
    <xf numFmtId="2" fontId="1" fillId="0" borderId="17" xfId="0" applyNumberFormat="1" applyFont="1" applyBorder="1" applyAlignment="1">
      <alignment horizontal="center"/>
    </xf>
    <xf numFmtId="1" fontId="1" fillId="0" borderId="18" xfId="0" applyFont="1" applyBorder="1" applyAlignment="1">
      <alignment horizontal="center"/>
    </xf>
    <xf numFmtId="1" fontId="1" fillId="0" borderId="19" xfId="0" applyFont="1" applyBorder="1" applyAlignment="1">
      <alignment horizontal="left"/>
    </xf>
    <xf numFmtId="1" fontId="1" fillId="0" borderId="20" xfId="0" applyFont="1" applyBorder="1"/>
    <xf numFmtId="177" fontId="1" fillId="0" borderId="21" xfId="0" applyNumberFormat="1" applyFont="1" applyBorder="1" applyAlignment="1">
      <alignment horizontal="center"/>
    </xf>
    <xf numFmtId="2" fontId="1" fillId="0" borderId="22" xfId="0" quotePrefix="1" applyNumberFormat="1" applyFont="1" applyBorder="1" applyAlignment="1">
      <alignment horizontal="center"/>
    </xf>
    <xf numFmtId="2" fontId="1" fillId="0" borderId="23" xfId="0" quotePrefix="1" applyNumberFormat="1" applyFont="1" applyBorder="1" applyAlignment="1">
      <alignment horizontal="center"/>
    </xf>
    <xf numFmtId="177" fontId="1" fillId="0" borderId="24" xfId="21" applyNumberFormat="1" applyFont="1" applyBorder="1"/>
    <xf numFmtId="40" fontId="1" fillId="0" borderId="24" xfId="21" applyNumberFormat="1" applyFont="1" applyBorder="1"/>
    <xf numFmtId="176" fontId="1" fillId="0" borderId="24" xfId="21" applyNumberFormat="1" applyFont="1" applyBorder="1"/>
    <xf numFmtId="176" fontId="1" fillId="0" borderId="25" xfId="21" applyNumberFormat="1" applyFont="1" applyBorder="1"/>
    <xf numFmtId="177" fontId="1" fillId="0" borderId="26" xfId="21" applyNumberFormat="1" applyFont="1" applyBorder="1"/>
    <xf numFmtId="40" fontId="1" fillId="0" borderId="26" xfId="21" applyNumberFormat="1" applyFont="1" applyBorder="1"/>
    <xf numFmtId="176" fontId="1" fillId="0" borderId="27" xfId="21" applyNumberFormat="1" applyFont="1" applyBorder="1"/>
    <xf numFmtId="1" fontId="6" fillId="0" borderId="0" xfId="0" applyFont="1"/>
    <xf numFmtId="40" fontId="1" fillId="0" borderId="8" xfId="21" applyNumberFormat="1" applyFont="1" applyBorder="1"/>
    <xf numFmtId="1" fontId="1" fillId="0" borderId="28" xfId="0" applyFont="1" applyBorder="1" applyAlignment="1">
      <alignment horizontal="centerContinuous"/>
    </xf>
    <xf numFmtId="1" fontId="1" fillId="0" borderId="28" xfId="0" applyFont="1" applyBorder="1" applyAlignment="1">
      <alignment horizontal="left"/>
    </xf>
    <xf numFmtId="1" fontId="1" fillId="0" borderId="29" xfId="0" applyFont="1" applyBorder="1" applyAlignment="1">
      <alignment horizontal="left"/>
    </xf>
    <xf numFmtId="1" fontId="1" fillId="0" borderId="30" xfId="0" applyFont="1" applyBorder="1" applyAlignment="1">
      <alignment horizontal="left"/>
    </xf>
    <xf numFmtId="40" fontId="1" fillId="0" borderId="31" xfId="21" applyNumberFormat="1" applyFont="1" applyBorder="1"/>
    <xf numFmtId="1" fontId="4" fillId="0" borderId="32" xfId="0" applyFont="1" applyBorder="1" applyProtection="1">
      <protection locked="0"/>
    </xf>
    <xf numFmtId="177" fontId="4" fillId="0" borderId="33" xfId="0" applyNumberFormat="1" applyFont="1" applyBorder="1" applyProtection="1">
      <protection locked="0"/>
    </xf>
    <xf numFmtId="1" fontId="1" fillId="0" borderId="34" xfId="0" applyFont="1" applyBorder="1" applyAlignment="1">
      <alignment horizontal="center"/>
    </xf>
    <xf numFmtId="1" fontId="1" fillId="0" borderId="32" xfId="0" applyFont="1" applyBorder="1" applyAlignment="1">
      <alignment horizontal="center"/>
    </xf>
    <xf numFmtId="2" fontId="1" fillId="0" borderId="21" xfId="0" quotePrefix="1" applyNumberFormat="1" applyFont="1" applyBorder="1" applyAlignment="1">
      <alignment horizontal="center"/>
    </xf>
    <xf numFmtId="2" fontId="1" fillId="0" borderId="35" xfId="0" quotePrefix="1" applyNumberFormat="1" applyFont="1" applyBorder="1" applyAlignment="1">
      <alignment horizontal="center"/>
    </xf>
    <xf numFmtId="176" fontId="1" fillId="0" borderId="36" xfId="21" applyNumberFormat="1" applyFont="1" applyBorder="1"/>
    <xf numFmtId="178" fontId="1" fillId="0" borderId="16" xfId="0" applyNumberFormat="1" applyFont="1" applyBorder="1" applyAlignment="1">
      <alignment horizontal="center"/>
    </xf>
    <xf numFmtId="178" fontId="1" fillId="0" borderId="22" xfId="0" quotePrefix="1" applyNumberFormat="1" applyFont="1" applyBorder="1" applyAlignment="1">
      <alignment horizontal="center"/>
    </xf>
    <xf numFmtId="178" fontId="1" fillId="0" borderId="37" xfId="21" applyNumberFormat="1" applyFont="1" applyBorder="1"/>
    <xf numFmtId="178" fontId="1" fillId="0" borderId="38" xfId="21" applyNumberFormat="1" applyFont="1" applyBorder="1"/>
    <xf numFmtId="178" fontId="1" fillId="0" borderId="39" xfId="21" applyNumberFormat="1" applyFont="1" applyBorder="1"/>
    <xf numFmtId="178" fontId="1" fillId="0" borderId="40" xfId="21" applyNumberFormat="1" applyFont="1" applyBorder="1"/>
    <xf numFmtId="176" fontId="1" fillId="0" borderId="41" xfId="21" applyNumberFormat="1" applyFont="1" applyBorder="1"/>
    <xf numFmtId="2" fontId="1" fillId="0" borderId="42" xfId="21" applyNumberFormat="1" applyFont="1" applyBorder="1"/>
    <xf numFmtId="1" fontId="1" fillId="0" borderId="43" xfId="0" applyFont="1" applyBorder="1" applyAlignment="1">
      <alignment horizontal="left"/>
    </xf>
    <xf numFmtId="178" fontId="0" fillId="0" borderId="0" xfId="0" applyNumberFormat="1"/>
    <xf numFmtId="1" fontId="1" fillId="0" borderId="44" xfId="0" applyFont="1" applyBorder="1" applyAlignment="1">
      <alignment horizontal="left"/>
    </xf>
    <xf numFmtId="1" fontId="1" fillId="0" borderId="14" xfId="0" applyFont="1" applyBorder="1" applyAlignment="1">
      <alignment horizontal="center"/>
    </xf>
    <xf numFmtId="177" fontId="4" fillId="0" borderId="45" xfId="0" applyNumberFormat="1" applyFont="1" applyBorder="1" applyProtection="1">
      <protection locked="0"/>
    </xf>
    <xf numFmtId="1" fontId="1" fillId="0" borderId="0" xfId="0" applyFont="1" applyAlignment="1">
      <alignment horizontal="centerContinuous"/>
    </xf>
    <xf numFmtId="1" fontId="1" fillId="0" borderId="0" xfId="0" quotePrefix="1" applyFont="1"/>
    <xf numFmtId="1" fontId="2" fillId="0" borderId="0" xfId="0" applyFont="1" applyAlignment="1">
      <alignment horizontal="centerContinuous"/>
    </xf>
    <xf numFmtId="177" fontId="1" fillId="0" borderId="0" xfId="0" applyNumberFormat="1" applyFont="1" applyAlignment="1">
      <alignment horizontal="centerContinuous"/>
    </xf>
    <xf numFmtId="178" fontId="1" fillId="0" borderId="0" xfId="0" applyNumberFormat="1" applyFont="1" applyAlignment="1">
      <alignment horizontal="centerContinuous"/>
    </xf>
    <xf numFmtId="2" fontId="1" fillId="0" borderId="0" xfId="0" applyNumberFormat="1" applyFont="1" applyAlignment="1">
      <alignment horizontal="centerContinuous"/>
    </xf>
    <xf numFmtId="1" fontId="5" fillId="0" borderId="0" xfId="0" applyFont="1"/>
    <xf numFmtId="1" fontId="1" fillId="0" borderId="0" xfId="0" quotePrefix="1" applyFont="1" applyAlignment="1">
      <alignment horizontal="right"/>
    </xf>
    <xf numFmtId="1" fontId="1" fillId="0" borderId="0" xfId="0" quotePrefix="1" applyFont="1" applyAlignment="1">
      <alignment horizontal="left"/>
    </xf>
    <xf numFmtId="1" fontId="1" fillId="0" borderId="46" xfId="0" applyFont="1" applyBorder="1" applyAlignment="1">
      <alignment horizontal="center" shrinkToFit="1"/>
    </xf>
    <xf numFmtId="1" fontId="1" fillId="0" borderId="15" xfId="0" applyFont="1" applyBorder="1" applyAlignment="1">
      <alignment horizontal="center" shrinkToFit="1"/>
    </xf>
    <xf numFmtId="178" fontId="4" fillId="0" borderId="45" xfId="0" applyNumberFormat="1" applyFont="1" applyBorder="1"/>
    <xf numFmtId="1" fontId="4" fillId="0" borderId="14" xfId="0" applyFont="1" applyBorder="1"/>
    <xf numFmtId="177" fontId="4" fillId="0" borderId="47" xfId="0" applyNumberFormat="1" applyFont="1" applyBorder="1"/>
    <xf numFmtId="178" fontId="1" fillId="0" borderId="48" xfId="21" applyNumberFormat="1" applyFont="1" applyBorder="1"/>
    <xf numFmtId="1" fontId="4" fillId="0" borderId="32" xfId="0" applyFont="1" applyBorder="1"/>
    <xf numFmtId="177" fontId="4" fillId="0" borderId="33" xfId="0" applyNumberFormat="1" applyFont="1" applyBorder="1"/>
    <xf numFmtId="178" fontId="1" fillId="0" borderId="49" xfId="21" applyNumberFormat="1" applyFont="1" applyBorder="1"/>
    <xf numFmtId="1" fontId="6" fillId="0" borderId="13" xfId="0" applyFont="1" applyBorder="1"/>
    <xf numFmtId="2" fontId="1" fillId="0" borderId="0" xfId="21" applyNumberFormat="1" applyFont="1"/>
    <xf numFmtId="1" fontId="1" fillId="0" borderId="29" xfId="0" applyFont="1" applyBorder="1" applyAlignment="1">
      <alignment horizontal="centerContinuous"/>
    </xf>
    <xf numFmtId="1" fontId="7" fillId="0" borderId="34" xfId="0" applyFont="1" applyBorder="1" applyAlignment="1">
      <alignment horizontal="left"/>
    </xf>
    <xf numFmtId="1" fontId="4" fillId="0" borderId="34" xfId="0" applyFont="1" applyBorder="1" applyAlignment="1">
      <alignment horizontal="centerContinuous"/>
    </xf>
    <xf numFmtId="178" fontId="1" fillId="0" borderId="42" xfId="21" applyNumberFormat="1" applyFont="1" applyBorder="1"/>
    <xf numFmtId="1" fontId="1" fillId="0" borderId="50" xfId="0" applyFont="1" applyBorder="1" applyAlignment="1">
      <alignment horizontal="centerContinuous"/>
    </xf>
    <xf numFmtId="1" fontId="4" fillId="0" borderId="28" xfId="0" applyFont="1" applyBorder="1" applyAlignment="1">
      <alignment horizontal="left"/>
    </xf>
    <xf numFmtId="2" fontId="1" fillId="0" borderId="39" xfId="21" applyNumberFormat="1" applyFont="1" applyBorder="1"/>
    <xf numFmtId="178" fontId="1" fillId="0" borderId="0" xfId="0" applyNumberFormat="1" applyFont="1"/>
    <xf numFmtId="2" fontId="1" fillId="0" borderId="0" xfId="0" applyNumberFormat="1" applyFont="1"/>
    <xf numFmtId="1" fontId="1" fillId="4" borderId="0" xfId="0" applyFont="1" applyFill="1"/>
    <xf numFmtId="1" fontId="1" fillId="0" borderId="0" xfId="0" applyFont="1" applyAlignment="1">
      <alignment horizontal="center"/>
    </xf>
    <xf numFmtId="1" fontId="0" fillId="0" borderId="0" xfId="0" applyAlignment="1">
      <alignment horizontal="center" vertical="center"/>
    </xf>
    <xf numFmtId="1" fontId="0" fillId="0" borderId="0" xfId="0" applyAlignment="1">
      <alignment vertical="center"/>
    </xf>
    <xf numFmtId="179" fontId="0" fillId="0" borderId="0" xfId="0" applyNumberFormat="1" applyAlignment="1">
      <alignment vertical="center"/>
    </xf>
    <xf numFmtId="177" fontId="0" fillId="0" borderId="4" xfId="0" applyNumberFormat="1" applyBorder="1" applyAlignment="1">
      <alignment vertical="center"/>
    </xf>
    <xf numFmtId="1" fontId="0" fillId="5" borderId="3" xfId="0" applyFill="1" applyBorder="1" applyAlignment="1">
      <alignment vertical="center"/>
    </xf>
    <xf numFmtId="1" fontId="0" fillId="6" borderId="3" xfId="0" applyFill="1" applyBorder="1" applyAlignment="1">
      <alignment vertical="center"/>
    </xf>
    <xf numFmtId="1" fontId="0" fillId="7" borderId="3" xfId="0" applyFill="1" applyBorder="1" applyAlignment="1">
      <alignment vertical="center"/>
    </xf>
    <xf numFmtId="1" fontId="0" fillId="8" borderId="3" xfId="0" applyFill="1" applyBorder="1" applyAlignment="1">
      <alignment vertical="center"/>
    </xf>
    <xf numFmtId="1" fontId="0" fillId="9" borderId="3" xfId="0" applyFill="1" applyBorder="1" applyAlignment="1">
      <alignment vertical="center"/>
    </xf>
    <xf numFmtId="1" fontId="0" fillId="10" borderId="3" xfId="0" applyFill="1" applyBorder="1" applyAlignment="1">
      <alignment vertical="center"/>
    </xf>
    <xf numFmtId="1" fontId="0" fillId="4" borderId="3" xfId="0" applyFill="1" applyBorder="1" applyAlignment="1">
      <alignment vertical="center"/>
    </xf>
    <xf numFmtId="1" fontId="25" fillId="0" borderId="0" xfId="0" applyFont="1"/>
    <xf numFmtId="1" fontId="0" fillId="0" borderId="52" xfId="0" applyBorder="1" applyAlignment="1">
      <alignment vertical="center"/>
    </xf>
    <xf numFmtId="1" fontId="29" fillId="0" borderId="32" xfId="0" applyFont="1" applyBorder="1" applyProtection="1">
      <protection locked="0"/>
    </xf>
    <xf numFmtId="177" fontId="29" fillId="0" borderId="33" xfId="0" applyNumberFormat="1" applyFont="1" applyBorder="1" applyProtection="1">
      <protection locked="0"/>
    </xf>
    <xf numFmtId="176" fontId="5" fillId="0" borderId="0" xfId="23" applyNumberFormat="1" applyFont="1"/>
    <xf numFmtId="176" fontId="5" fillId="0" borderId="12" xfId="23" applyNumberFormat="1" applyFont="1" applyBorder="1" applyAlignment="1">
      <alignment horizontal="center" vertical="center"/>
    </xf>
    <xf numFmtId="176" fontId="5" fillId="0" borderId="53" xfId="23" applyNumberFormat="1" applyFont="1" applyBorder="1" applyAlignment="1">
      <alignment horizontal="center" vertical="center"/>
    </xf>
    <xf numFmtId="176" fontId="5" fillId="0" borderId="54" xfId="23" quotePrefix="1" applyNumberFormat="1" applyFont="1" applyBorder="1" applyAlignment="1">
      <alignment horizontal="center" vertical="center"/>
    </xf>
    <xf numFmtId="176" fontId="5" fillId="0" borderId="8" xfId="23" applyNumberFormat="1" applyFont="1" applyBorder="1" applyAlignment="1">
      <alignment horizontal="center" vertical="center"/>
    </xf>
    <xf numFmtId="176" fontId="5" fillId="0" borderId="9" xfId="23" applyNumberFormat="1" applyFont="1" applyBorder="1" applyAlignment="1">
      <alignment horizontal="center" vertical="center"/>
    </xf>
    <xf numFmtId="176" fontId="5" fillId="0" borderId="55" xfId="23" quotePrefix="1" applyNumberFormat="1" applyFont="1" applyBorder="1" applyAlignment="1">
      <alignment vertical="center"/>
    </xf>
    <xf numFmtId="176" fontId="5" fillId="0" borderId="26" xfId="23" quotePrefix="1" applyNumberFormat="1" applyFont="1" applyBorder="1" applyAlignment="1">
      <alignment vertical="center"/>
    </xf>
    <xf numFmtId="176" fontId="5" fillId="0" borderId="26" xfId="23" quotePrefix="1" applyNumberFormat="1" applyFont="1" applyBorder="1" applyAlignment="1">
      <alignment horizontal="center" vertical="center"/>
    </xf>
    <xf numFmtId="176" fontId="5" fillId="0" borderId="54" xfId="23" quotePrefix="1" applyNumberFormat="1" applyFont="1" applyBorder="1" applyAlignment="1">
      <alignment vertical="center"/>
    </xf>
    <xf numFmtId="176" fontId="5" fillId="0" borderId="0" xfId="23" applyNumberFormat="1" applyFont="1" applyAlignment="1">
      <alignment horizontal="center" vertical="center"/>
    </xf>
    <xf numFmtId="176" fontId="5" fillId="0" borderId="0" xfId="23" applyNumberFormat="1" applyFont="1" applyAlignment="1">
      <alignment vertical="center"/>
    </xf>
    <xf numFmtId="176" fontId="5" fillId="0" borderId="0" xfId="23" applyNumberFormat="1" applyFont="1" applyAlignment="1">
      <alignment horizontal="center"/>
    </xf>
    <xf numFmtId="176" fontId="5" fillId="0" borderId="0" xfId="23" applyNumberFormat="1" applyFont="1" applyAlignment="1">
      <alignment horizontal="right"/>
    </xf>
    <xf numFmtId="180" fontId="5" fillId="0" borderId="0" xfId="23" applyNumberFormat="1" applyFont="1"/>
    <xf numFmtId="176" fontId="5" fillId="0" borderId="12" xfId="23" quotePrefix="1" applyNumberFormat="1" applyFont="1" applyBorder="1" applyAlignment="1">
      <alignment horizontal="center" vertical="center"/>
    </xf>
    <xf numFmtId="176" fontId="5" fillId="0" borderId="56" xfId="23" quotePrefix="1" applyNumberFormat="1" applyFont="1" applyBorder="1" applyAlignment="1">
      <alignment horizontal="center" vertical="center"/>
    </xf>
    <xf numFmtId="176" fontId="5" fillId="0" borderId="57" xfId="23" quotePrefix="1" applyNumberFormat="1" applyFont="1" applyBorder="1" applyAlignment="1">
      <alignment horizontal="center" vertical="center"/>
    </xf>
    <xf numFmtId="176" fontId="5" fillId="0" borderId="55" xfId="23" quotePrefix="1" applyNumberFormat="1" applyFont="1" applyBorder="1" applyAlignment="1">
      <alignment horizontal="center" vertical="center"/>
    </xf>
    <xf numFmtId="1" fontId="1" fillId="11" borderId="58" xfId="0" applyFont="1" applyFill="1" applyBorder="1" applyAlignment="1">
      <alignment horizontal="center" wrapText="1"/>
    </xf>
    <xf numFmtId="178" fontId="1" fillId="11" borderId="16" xfId="0" applyNumberFormat="1" applyFont="1" applyFill="1" applyBorder="1" applyAlignment="1">
      <alignment horizontal="center"/>
    </xf>
    <xf numFmtId="178" fontId="1" fillId="11" borderId="22" xfId="0" quotePrefix="1" applyNumberFormat="1" applyFont="1" applyFill="1" applyBorder="1" applyAlignment="1">
      <alignment horizontal="center"/>
    </xf>
    <xf numFmtId="178" fontId="1" fillId="11" borderId="59" xfId="21" applyNumberFormat="1" applyFont="1" applyFill="1" applyBorder="1" applyProtection="1">
      <protection locked="0"/>
    </xf>
    <xf numFmtId="178" fontId="1" fillId="11" borderId="0" xfId="0" applyNumberFormat="1" applyFont="1" applyFill="1"/>
    <xf numFmtId="176" fontId="5" fillId="0" borderId="60" xfId="23" quotePrefix="1" applyNumberFormat="1" applyFont="1" applyBorder="1" applyAlignment="1">
      <alignment horizontal="center" vertical="center"/>
    </xf>
    <xf numFmtId="178" fontId="1" fillId="0" borderId="0" xfId="0" applyNumberFormat="1" applyFont="1" applyAlignment="1">
      <alignment horizontal="right"/>
    </xf>
    <xf numFmtId="0" fontId="1" fillId="0" borderId="0" xfId="29" applyFont="1"/>
    <xf numFmtId="0" fontId="1" fillId="0" borderId="0" xfId="29" applyFont="1" applyAlignment="1">
      <alignment horizontal="right"/>
    </xf>
    <xf numFmtId="0" fontId="1" fillId="0" borderId="61" xfId="27" applyFont="1" applyBorder="1" applyAlignment="1">
      <alignment horizontal="center" vertical="center"/>
    </xf>
    <xf numFmtId="0" fontId="1" fillId="0" borderId="62" xfId="27" applyFont="1" applyBorder="1" applyAlignment="1">
      <alignment horizontal="center" vertical="center"/>
    </xf>
    <xf numFmtId="0" fontId="1" fillId="0" borderId="63" xfId="27" applyFont="1" applyBorder="1" applyAlignment="1">
      <alignment horizontal="center" vertical="center"/>
    </xf>
    <xf numFmtId="0" fontId="1" fillId="0" borderId="64" xfId="27" applyFont="1" applyBorder="1" applyAlignment="1">
      <alignment horizontal="center" vertical="center"/>
    </xf>
    <xf numFmtId="0" fontId="1" fillId="0" borderId="65" xfId="27" applyFont="1" applyBorder="1" applyAlignment="1">
      <alignment horizontal="center" vertical="center"/>
    </xf>
    <xf numFmtId="0" fontId="1" fillId="0" borderId="66" xfId="29" applyFont="1" applyBorder="1" applyAlignment="1">
      <alignment horizontal="center"/>
    </xf>
    <xf numFmtId="0" fontId="1" fillId="0" borderId="3" xfId="29" applyFont="1" applyBorder="1" applyAlignment="1">
      <alignment horizontal="center"/>
    </xf>
    <xf numFmtId="0" fontId="1" fillId="0" borderId="3" xfId="29" applyFont="1" applyBorder="1" applyAlignment="1">
      <alignment horizontal="left"/>
    </xf>
    <xf numFmtId="0" fontId="1" fillId="0" borderId="67" xfId="29" applyFont="1" applyBorder="1" applyAlignment="1">
      <alignment horizontal="center"/>
    </xf>
    <xf numFmtId="176" fontId="1" fillId="0" borderId="3" xfId="22" applyNumberFormat="1" applyFont="1" applyBorder="1" applyAlignment="1">
      <alignment horizontal="right"/>
    </xf>
    <xf numFmtId="176" fontId="1" fillId="0" borderId="0" xfId="22" applyNumberFormat="1" applyFont="1"/>
    <xf numFmtId="181" fontId="1" fillId="0" borderId="0" xfId="29" applyNumberFormat="1" applyFont="1"/>
    <xf numFmtId="0" fontId="1" fillId="0" borderId="0" xfId="29" applyFont="1" applyAlignment="1">
      <alignment horizontal="center"/>
    </xf>
    <xf numFmtId="38" fontId="1" fillId="0" borderId="0" xfId="29" applyNumberFormat="1" applyFont="1"/>
    <xf numFmtId="0" fontId="1" fillId="0" borderId="68" xfId="29" applyFont="1" applyBorder="1" applyAlignment="1">
      <alignment horizontal="center"/>
    </xf>
    <xf numFmtId="0" fontId="1" fillId="0" borderId="69" xfId="29" applyFont="1" applyBorder="1" applyAlignment="1">
      <alignment horizontal="center"/>
    </xf>
    <xf numFmtId="0" fontId="1" fillId="0" borderId="69" xfId="29" applyFont="1" applyBorder="1" applyAlignment="1">
      <alignment horizontal="left"/>
    </xf>
    <xf numFmtId="0" fontId="1" fillId="0" borderId="70" xfId="29" applyFont="1" applyBorder="1" applyAlignment="1">
      <alignment horizontal="center"/>
    </xf>
    <xf numFmtId="176" fontId="1" fillId="0" borderId="69" xfId="22" applyNumberFormat="1" applyFont="1" applyBorder="1" applyAlignment="1">
      <alignment horizontal="right"/>
    </xf>
    <xf numFmtId="182" fontId="5" fillId="0" borderId="55" xfId="23" quotePrefix="1" applyNumberFormat="1" applyFont="1" applyBorder="1" applyAlignment="1">
      <alignment horizontal="right" vertical="center"/>
    </xf>
    <xf numFmtId="182" fontId="5" fillId="0" borderId="55" xfId="23" applyNumberFormat="1" applyFont="1" applyBorder="1" applyAlignment="1">
      <alignment horizontal="right" vertical="center"/>
    </xf>
    <xf numFmtId="182" fontId="5" fillId="0" borderId="12" xfId="23" applyNumberFormat="1" applyFont="1" applyBorder="1" applyAlignment="1">
      <alignment horizontal="right" vertical="center"/>
    </xf>
    <xf numFmtId="182" fontId="5" fillId="0" borderId="26" xfId="23" quotePrefix="1" applyNumberFormat="1" applyFont="1" applyBorder="1" applyAlignment="1">
      <alignment horizontal="right" vertical="center"/>
    </xf>
    <xf numFmtId="182" fontId="5" fillId="0" borderId="26" xfId="23" applyNumberFormat="1" applyFont="1" applyBorder="1" applyAlignment="1">
      <alignment horizontal="right" vertical="center"/>
    </xf>
    <xf numFmtId="182" fontId="5" fillId="0" borderId="54" xfId="23" quotePrefix="1" applyNumberFormat="1" applyFont="1" applyBorder="1" applyAlignment="1">
      <alignment horizontal="right" vertical="center"/>
    </xf>
    <xf numFmtId="182" fontId="5" fillId="0" borderId="54" xfId="23" applyNumberFormat="1" applyFont="1" applyBorder="1" applyAlignment="1">
      <alignment horizontal="right" vertical="center"/>
    </xf>
    <xf numFmtId="183" fontId="5" fillId="0" borderId="55" xfId="23" applyNumberFormat="1" applyFont="1" applyBorder="1" applyAlignment="1">
      <alignment horizontal="right" vertical="center"/>
    </xf>
    <xf numFmtId="183" fontId="5" fillId="0" borderId="26" xfId="23" applyNumberFormat="1" applyFont="1" applyBorder="1" applyAlignment="1">
      <alignment horizontal="right" vertical="center"/>
    </xf>
    <xf numFmtId="182" fontId="1" fillId="0" borderId="3" xfId="22" applyNumberFormat="1" applyFont="1" applyBorder="1" applyAlignment="1">
      <alignment horizontal="right"/>
    </xf>
    <xf numFmtId="0" fontId="1" fillId="0" borderId="71" xfId="29" applyFont="1" applyBorder="1" applyAlignment="1">
      <alignment horizontal="left"/>
    </xf>
    <xf numFmtId="0" fontId="1" fillId="0" borderId="72" xfId="29" applyFont="1" applyBorder="1" applyAlignment="1">
      <alignment horizontal="left"/>
    </xf>
    <xf numFmtId="1" fontId="1" fillId="12" borderId="58" xfId="0" applyFont="1" applyFill="1" applyBorder="1" applyAlignment="1">
      <alignment horizontal="center" wrapText="1"/>
    </xf>
    <xf numFmtId="178" fontId="1" fillId="12" borderId="16" xfId="0" applyNumberFormat="1" applyFont="1" applyFill="1" applyBorder="1" applyAlignment="1">
      <alignment horizontal="center"/>
    </xf>
    <xf numFmtId="178" fontId="1" fillId="12" borderId="22" xfId="0" quotePrefix="1" applyNumberFormat="1" applyFont="1" applyFill="1" applyBorder="1" applyAlignment="1">
      <alignment horizontal="center"/>
    </xf>
    <xf numFmtId="178" fontId="1" fillId="12" borderId="40" xfId="21" applyNumberFormat="1" applyFont="1" applyFill="1" applyBorder="1" applyProtection="1">
      <protection locked="0"/>
    </xf>
    <xf numFmtId="178" fontId="1" fillId="12" borderId="59" xfId="21" applyNumberFormat="1" applyFont="1" applyFill="1" applyBorder="1" applyProtection="1">
      <protection locked="0"/>
    </xf>
    <xf numFmtId="178" fontId="1" fillId="12" borderId="0" xfId="0" applyNumberFormat="1" applyFont="1" applyFill="1"/>
    <xf numFmtId="1" fontId="1" fillId="13" borderId="58" xfId="0" applyFont="1" applyFill="1" applyBorder="1" applyAlignment="1">
      <alignment horizontal="center" wrapText="1"/>
    </xf>
    <xf numFmtId="178" fontId="1" fillId="13" borderId="16" xfId="0" applyNumberFormat="1" applyFont="1" applyFill="1" applyBorder="1" applyAlignment="1">
      <alignment horizontal="center"/>
    </xf>
    <xf numFmtId="178" fontId="1" fillId="13" borderId="22" xfId="0" quotePrefix="1" applyNumberFormat="1" applyFont="1" applyFill="1" applyBorder="1" applyAlignment="1">
      <alignment horizontal="center"/>
    </xf>
    <xf numFmtId="178" fontId="1" fillId="13" borderId="40" xfId="21" applyNumberFormat="1" applyFont="1" applyFill="1" applyBorder="1" applyProtection="1">
      <protection locked="0"/>
    </xf>
    <xf numFmtId="178" fontId="1" fillId="13" borderId="59" xfId="21" applyNumberFormat="1" applyFont="1" applyFill="1" applyBorder="1" applyProtection="1">
      <protection locked="0"/>
    </xf>
    <xf numFmtId="178" fontId="1" fillId="13" borderId="0" xfId="0" applyNumberFormat="1" applyFont="1" applyFill="1"/>
    <xf numFmtId="1" fontId="1" fillId="14" borderId="58" xfId="0" applyFont="1" applyFill="1" applyBorder="1" applyAlignment="1">
      <alignment horizontal="center" wrapText="1"/>
    </xf>
    <xf numFmtId="178" fontId="1" fillId="14" borderId="16" xfId="0" applyNumberFormat="1" applyFont="1" applyFill="1" applyBorder="1" applyAlignment="1">
      <alignment horizontal="center"/>
    </xf>
    <xf numFmtId="178" fontId="1" fillId="14" borderId="22" xfId="0" quotePrefix="1" applyNumberFormat="1" applyFont="1" applyFill="1" applyBorder="1" applyAlignment="1">
      <alignment horizontal="center"/>
    </xf>
    <xf numFmtId="178" fontId="1" fillId="14" borderId="40" xfId="21" applyNumberFormat="1" applyFont="1" applyFill="1" applyBorder="1" applyProtection="1">
      <protection locked="0"/>
    </xf>
    <xf numFmtId="178" fontId="1" fillId="14" borderId="59" xfId="21" applyNumberFormat="1" applyFont="1" applyFill="1" applyBorder="1" applyProtection="1">
      <protection locked="0"/>
    </xf>
    <xf numFmtId="178" fontId="1" fillId="14" borderId="0" xfId="0" applyNumberFormat="1" applyFont="1" applyFill="1"/>
    <xf numFmtId="1" fontId="1" fillId="15" borderId="58" xfId="0" applyFont="1" applyFill="1" applyBorder="1" applyAlignment="1">
      <alignment horizontal="center" wrapText="1"/>
    </xf>
    <xf numFmtId="178" fontId="1" fillId="15" borderId="16" xfId="0" applyNumberFormat="1" applyFont="1" applyFill="1" applyBorder="1" applyAlignment="1">
      <alignment horizontal="center"/>
    </xf>
    <xf numFmtId="178" fontId="1" fillId="15" borderId="22" xfId="0" quotePrefix="1" applyNumberFormat="1" applyFont="1" applyFill="1" applyBorder="1" applyAlignment="1">
      <alignment horizontal="center"/>
    </xf>
    <xf numFmtId="178" fontId="1" fillId="15" borderId="59" xfId="21" applyNumberFormat="1" applyFont="1" applyFill="1" applyBorder="1" applyProtection="1">
      <protection locked="0"/>
    </xf>
    <xf numFmtId="178" fontId="1" fillId="15" borderId="0" xfId="0" applyNumberFormat="1" applyFont="1" applyFill="1"/>
    <xf numFmtId="1" fontId="1" fillId="0" borderId="58" xfId="0" applyFont="1" applyBorder="1" applyAlignment="1">
      <alignment horizontal="center" wrapText="1"/>
    </xf>
    <xf numFmtId="178" fontId="1" fillId="0" borderId="40" xfId="21" applyNumberFormat="1" applyFont="1" applyBorder="1" applyProtection="1">
      <protection locked="0"/>
    </xf>
    <xf numFmtId="178" fontId="1" fillId="0" borderId="59" xfId="21" applyNumberFormat="1" applyFont="1" applyBorder="1" applyProtection="1">
      <protection locked="0"/>
    </xf>
    <xf numFmtId="1" fontId="0" fillId="11" borderId="0" xfId="0" applyFill="1"/>
    <xf numFmtId="1" fontId="1" fillId="11" borderId="0" xfId="0" applyFont="1" applyFill="1"/>
    <xf numFmtId="177" fontId="1" fillId="0" borderId="73" xfId="0" applyNumberFormat="1" applyFont="1" applyBorder="1" applyProtection="1">
      <protection locked="0"/>
    </xf>
    <xf numFmtId="1" fontId="1" fillId="0" borderId="32" xfId="0" applyFont="1" applyBorder="1" applyProtection="1">
      <protection locked="0"/>
    </xf>
    <xf numFmtId="177" fontId="1" fillId="0" borderId="33" xfId="0" applyNumberFormat="1" applyFont="1" applyBorder="1" applyProtection="1">
      <protection locked="0"/>
    </xf>
    <xf numFmtId="176" fontId="5" fillId="0" borderId="74" xfId="23" quotePrefix="1" applyNumberFormat="1" applyFont="1" applyBorder="1" applyAlignment="1">
      <alignment horizontal="center" vertical="center"/>
    </xf>
    <xf numFmtId="176" fontId="5" fillId="0" borderId="75" xfId="23" quotePrefix="1" applyNumberFormat="1" applyFont="1" applyBorder="1" applyAlignment="1">
      <alignment vertical="center"/>
    </xf>
    <xf numFmtId="182" fontId="5" fillId="0" borderId="75" xfId="23" quotePrefix="1" applyNumberFormat="1" applyFont="1" applyBorder="1" applyAlignment="1">
      <alignment horizontal="right" vertical="center"/>
    </xf>
    <xf numFmtId="182" fontId="5" fillId="0" borderId="75" xfId="23" applyNumberFormat="1" applyFont="1" applyBorder="1" applyAlignment="1">
      <alignment horizontal="right" vertical="center"/>
    </xf>
    <xf numFmtId="1" fontId="1" fillId="0" borderId="34" xfId="0" applyFont="1" applyBorder="1" applyAlignment="1">
      <alignment horizontal="left"/>
    </xf>
    <xf numFmtId="1" fontId="1" fillId="0" borderId="76" xfId="0" applyFont="1" applyBorder="1" applyAlignment="1">
      <alignment horizontal="centerContinuous"/>
    </xf>
    <xf numFmtId="1" fontId="1" fillId="0" borderId="77" xfId="0" applyFont="1" applyBorder="1" applyAlignment="1">
      <alignment horizontal="left"/>
    </xf>
    <xf numFmtId="1" fontId="1" fillId="0" borderId="77" xfId="0" applyFont="1" applyBorder="1" applyAlignment="1">
      <alignment horizontal="centerContinuous"/>
    </xf>
    <xf numFmtId="176" fontId="1" fillId="0" borderId="15" xfId="21" applyNumberFormat="1" applyFont="1" applyBorder="1"/>
    <xf numFmtId="176" fontId="1" fillId="0" borderId="78" xfId="21" applyNumberFormat="1" applyFont="1" applyBorder="1"/>
    <xf numFmtId="1" fontId="1" fillId="0" borderId="79" xfId="0" applyFont="1" applyBorder="1" applyAlignment="1">
      <alignment horizontal="left"/>
    </xf>
    <xf numFmtId="178" fontId="1" fillId="0" borderId="16" xfId="21" applyNumberFormat="1" applyFont="1" applyBorder="1"/>
    <xf numFmtId="40" fontId="1" fillId="0" borderId="15" xfId="21" applyNumberFormat="1" applyFont="1" applyBorder="1"/>
    <xf numFmtId="178" fontId="1" fillId="0" borderId="80" xfId="21" applyNumberFormat="1" applyFont="1" applyBorder="1"/>
    <xf numFmtId="40" fontId="1" fillId="0" borderId="54" xfId="21" applyNumberFormat="1" applyFont="1" applyBorder="1"/>
    <xf numFmtId="178" fontId="1" fillId="0" borderId="17" xfId="21" applyNumberFormat="1" applyFont="1" applyBorder="1"/>
    <xf numFmtId="2" fontId="1" fillId="0" borderId="17" xfId="21" applyNumberFormat="1" applyFont="1" applyBorder="1"/>
    <xf numFmtId="176" fontId="1" fillId="0" borderId="18" xfId="21" applyNumberFormat="1" applyFont="1" applyBorder="1"/>
    <xf numFmtId="2" fontId="1" fillId="0" borderId="80" xfId="21" applyNumberFormat="1" applyFont="1" applyBorder="1"/>
    <xf numFmtId="176" fontId="1" fillId="0" borderId="81" xfId="21" applyNumberFormat="1" applyFont="1" applyBorder="1"/>
    <xf numFmtId="184" fontId="5" fillId="0" borderId="3" xfId="0" applyNumberFormat="1" applyFont="1" applyBorder="1" applyAlignment="1">
      <alignment horizontal="center" vertical="center" justifyLastLine="1"/>
    </xf>
    <xf numFmtId="1" fontId="5" fillId="0" borderId="0" xfId="0" applyFont="1" applyAlignment="1">
      <alignment horizontal="distributed" vertical="center" justifyLastLine="1"/>
    </xf>
    <xf numFmtId="185" fontId="5" fillId="0" borderId="3" xfId="30" applyNumberFormat="1" applyFont="1" applyBorder="1" applyAlignment="1">
      <alignment horizontal="center"/>
    </xf>
    <xf numFmtId="186" fontId="5" fillId="0" borderId="3" xfId="0" applyNumberFormat="1" applyFont="1" applyBorder="1"/>
    <xf numFmtId="187" fontId="5" fillId="0" borderId="3" xfId="0" applyNumberFormat="1" applyFont="1" applyBorder="1" applyAlignment="1">
      <alignment shrinkToFit="1"/>
    </xf>
    <xf numFmtId="188" fontId="5" fillId="0" borderId="3" xfId="0" applyNumberFormat="1" applyFont="1" applyBorder="1" applyAlignment="1">
      <alignment shrinkToFit="1"/>
    </xf>
    <xf numFmtId="0" fontId="5" fillId="0" borderId="3" xfId="30" applyFont="1" applyBorder="1" applyAlignment="1">
      <alignment horizontal="center" shrinkToFit="1"/>
    </xf>
    <xf numFmtId="185" fontId="5" fillId="0" borderId="3" xfId="0" applyNumberFormat="1" applyFont="1" applyBorder="1" applyAlignment="1">
      <alignment horizontal="center"/>
    </xf>
    <xf numFmtId="186" fontId="5" fillId="0" borderId="3" xfId="0" applyNumberFormat="1" applyFont="1" applyBorder="1" applyAlignment="1">
      <alignment shrinkToFit="1"/>
    </xf>
    <xf numFmtId="1" fontId="8" fillId="0" borderId="0" xfId="0" applyFont="1"/>
    <xf numFmtId="185" fontId="8" fillId="0" borderId="0" xfId="0" applyNumberFormat="1" applyFont="1"/>
    <xf numFmtId="184" fontId="8" fillId="0" borderId="0" xfId="0" applyNumberFormat="1" applyFont="1"/>
    <xf numFmtId="185" fontId="5" fillId="0" borderId="3" xfId="30" applyNumberFormat="1" applyFont="1" applyBorder="1" applyAlignment="1">
      <alignment horizontal="center" justifyLastLine="1" shrinkToFit="1"/>
    </xf>
    <xf numFmtId="1" fontId="5" fillId="0" borderId="0" xfId="0" applyFont="1" applyAlignment="1">
      <alignment vertical="center" justifyLastLine="1"/>
    </xf>
    <xf numFmtId="184" fontId="5" fillId="0" borderId="3" xfId="0" applyNumberFormat="1" applyFont="1" applyBorder="1"/>
    <xf numFmtId="0" fontId="1" fillId="0" borderId="3" xfId="27" applyFont="1" applyBorder="1" applyAlignment="1">
      <alignment horizontal="left" shrinkToFit="1"/>
    </xf>
    <xf numFmtId="0" fontId="5" fillId="0" borderId="67" xfId="30" applyFont="1" applyBorder="1" applyAlignment="1">
      <alignment horizontal="left" shrinkToFit="1"/>
    </xf>
    <xf numFmtId="185" fontId="5" fillId="0" borderId="67" xfId="30" applyNumberFormat="1" applyFont="1" applyBorder="1" applyAlignment="1">
      <alignment horizontal="left" shrinkToFit="1"/>
    </xf>
    <xf numFmtId="0" fontId="5" fillId="0" borderId="3" xfId="30" applyFont="1" applyBorder="1" applyAlignment="1">
      <alignment horizontal="left" shrinkToFit="1"/>
    </xf>
    <xf numFmtId="1" fontId="1" fillId="0" borderId="82" xfId="0" applyFont="1" applyBorder="1" applyAlignment="1">
      <alignment horizontal="center"/>
    </xf>
    <xf numFmtId="2" fontId="1" fillId="0" borderId="20" xfId="0" quotePrefix="1" applyNumberFormat="1" applyFont="1" applyBorder="1" applyAlignment="1">
      <alignment horizontal="center"/>
    </xf>
    <xf numFmtId="176" fontId="1" fillId="0" borderId="14" xfId="21" applyNumberFormat="1" applyFont="1" applyBorder="1"/>
    <xf numFmtId="176" fontId="1" fillId="0" borderId="34" xfId="21" applyNumberFormat="1" applyFont="1" applyBorder="1"/>
    <xf numFmtId="176" fontId="1" fillId="0" borderId="88" xfId="21" applyNumberFormat="1" applyFont="1" applyBorder="1"/>
    <xf numFmtId="178" fontId="1" fillId="16" borderId="40" xfId="21" applyNumberFormat="1" applyFont="1" applyFill="1" applyBorder="1" applyProtection="1">
      <protection locked="0"/>
    </xf>
    <xf numFmtId="178" fontId="1" fillId="16" borderId="59" xfId="21" applyNumberFormat="1" applyFont="1" applyFill="1" applyBorder="1" applyProtection="1">
      <protection locked="0"/>
    </xf>
    <xf numFmtId="0" fontId="0" fillId="0" borderId="0" xfId="0" applyNumberFormat="1"/>
    <xf numFmtId="1" fontId="30" fillId="11" borderId="58" xfId="0" applyFont="1" applyFill="1" applyBorder="1" applyAlignment="1">
      <alignment horizontal="center" wrapText="1"/>
    </xf>
    <xf numFmtId="1" fontId="1" fillId="0" borderId="86" xfId="0" applyFont="1" applyBorder="1" applyAlignment="1">
      <alignment horizontal="center" wrapText="1"/>
    </xf>
    <xf numFmtId="0" fontId="0" fillId="0" borderId="86" xfId="0" applyNumberFormat="1" applyBorder="1"/>
    <xf numFmtId="1" fontId="29" fillId="16" borderId="97" xfId="0" applyFont="1" applyFill="1" applyBorder="1" applyAlignment="1">
      <alignment horizontal="center" wrapText="1"/>
    </xf>
    <xf numFmtId="0" fontId="0" fillId="0" borderId="90" xfId="0" applyNumberFormat="1" applyBorder="1"/>
    <xf numFmtId="0" fontId="0" fillId="0" borderId="91" xfId="0" applyNumberFormat="1" applyBorder="1"/>
    <xf numFmtId="1" fontId="1" fillId="16" borderId="97" xfId="0" applyFont="1" applyFill="1" applyBorder="1" applyAlignment="1">
      <alignment horizontal="center" wrapText="1"/>
    </xf>
    <xf numFmtId="0" fontId="27" fillId="0" borderId="0" xfId="29" applyFont="1" applyAlignment="1">
      <alignment horizontal="center"/>
    </xf>
    <xf numFmtId="0" fontId="1" fillId="0" borderId="0" xfId="29" applyFont="1"/>
    <xf numFmtId="6" fontId="1" fillId="0" borderId="92" xfId="25" applyFont="1" applyBorder="1" applyAlignment="1">
      <alignment horizontal="center"/>
    </xf>
    <xf numFmtId="0" fontId="0" fillId="0" borderId="82" xfId="0" applyNumberFormat="1" applyBorder="1"/>
    <xf numFmtId="0" fontId="0" fillId="0" borderId="83" xfId="0" applyNumberFormat="1" applyBorder="1"/>
    <xf numFmtId="1" fontId="1" fillId="0" borderId="51" xfId="0" applyFont="1" applyBorder="1" applyAlignment="1">
      <alignment horizontal="center"/>
    </xf>
    <xf numFmtId="0" fontId="0" fillId="0" borderId="84" xfId="0" applyNumberFormat="1" applyBorder="1"/>
    <xf numFmtId="1" fontId="1" fillId="0" borderId="92" xfId="0" applyFont="1" applyBorder="1" applyAlignment="1">
      <alignment horizontal="center"/>
    </xf>
    <xf numFmtId="1" fontId="1" fillId="0" borderId="45" xfId="0" applyFont="1" applyBorder="1" applyAlignment="1">
      <alignment horizontal="center"/>
    </xf>
    <xf numFmtId="0" fontId="0" fillId="0" borderId="89" xfId="0" applyNumberFormat="1" applyBorder="1"/>
    <xf numFmtId="176" fontId="5" fillId="0" borderId="85" xfId="23" applyNumberFormat="1" applyFont="1" applyBorder="1" applyAlignment="1">
      <alignment horizontal="right" vertical="center"/>
    </xf>
    <xf numFmtId="0" fontId="0" fillId="0" borderId="18" xfId="0" applyNumberFormat="1" applyBorder="1"/>
    <xf numFmtId="0" fontId="0" fillId="0" borderId="25" xfId="0" applyNumberFormat="1" applyBorder="1"/>
    <xf numFmtId="176" fontId="5" fillId="0" borderId="55" xfId="23" quotePrefix="1" applyNumberFormat="1" applyFont="1" applyBorder="1" applyAlignment="1">
      <alignment horizontal="center" vertical="center"/>
    </xf>
    <xf numFmtId="0" fontId="0" fillId="0" borderId="24" xfId="0" applyNumberFormat="1" applyBorder="1"/>
    <xf numFmtId="176" fontId="5" fillId="0" borderId="56" xfId="23" quotePrefix="1" applyNumberFormat="1" applyFont="1" applyBorder="1" applyAlignment="1">
      <alignment horizontal="center" vertical="center"/>
    </xf>
    <xf numFmtId="0" fontId="0" fillId="0" borderId="93" xfId="0" applyNumberFormat="1" applyBorder="1"/>
    <xf numFmtId="176" fontId="5" fillId="0" borderId="94" xfId="23" applyNumberFormat="1" applyFont="1" applyBorder="1" applyAlignment="1">
      <alignment horizontal="center" vertical="center"/>
    </xf>
    <xf numFmtId="0" fontId="0" fillId="0" borderId="8" xfId="0" applyNumberFormat="1" applyBorder="1"/>
    <xf numFmtId="184" fontId="5" fillId="0" borderId="67" xfId="0" applyNumberFormat="1" applyFont="1" applyBorder="1" applyAlignment="1">
      <alignment horizontal="center" vertical="center" justifyLastLine="1"/>
    </xf>
    <xf numFmtId="0" fontId="0" fillId="0" borderId="1" xfId="0" applyNumberFormat="1" applyBorder="1"/>
    <xf numFmtId="184" fontId="5" fillId="0" borderId="3" xfId="0" applyNumberFormat="1" applyFont="1" applyBorder="1" applyAlignment="1">
      <alignment horizontal="center" vertical="center" justifyLastLine="1"/>
    </xf>
    <xf numFmtId="0" fontId="0" fillId="0" borderId="87" xfId="0" applyNumberFormat="1" applyBorder="1"/>
    <xf numFmtId="1" fontId="5" fillId="0" borderId="3" xfId="0" applyFont="1" applyBorder="1" applyAlignment="1">
      <alignment horizontal="center" vertical="center" justifyLastLine="1"/>
    </xf>
    <xf numFmtId="0" fontId="0" fillId="0" borderId="95" xfId="0" applyNumberFormat="1" applyBorder="1"/>
    <xf numFmtId="0" fontId="0" fillId="0" borderId="96" xfId="0" applyNumberFormat="1" applyBorder="1"/>
    <xf numFmtId="185" fontId="5" fillId="0" borderId="3" xfId="0" applyNumberFormat="1" applyFont="1" applyBorder="1" applyAlignment="1">
      <alignment horizontal="center" vertical="center" justifyLastLine="1"/>
    </xf>
    <xf numFmtId="178" fontId="0" fillId="7" borderId="3" xfId="0" applyNumberFormat="1" applyFill="1" applyBorder="1" applyAlignment="1">
      <alignment horizontal="center" vertical="center"/>
    </xf>
    <xf numFmtId="1" fontId="0" fillId="0" borderId="3" xfId="0" applyBorder="1" applyAlignment="1">
      <alignment horizontal="center" vertical="center"/>
    </xf>
    <xf numFmtId="178" fontId="0" fillId="10" borderId="3" xfId="0" applyNumberFormat="1" applyFill="1" applyBorder="1" applyAlignment="1">
      <alignment horizontal="center" vertical="center"/>
    </xf>
    <xf numFmtId="178" fontId="0" fillId="6" borderId="3" xfId="0" applyNumberForma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" fontId="0" fillId="4" borderId="3" xfId="0" applyFill="1" applyBorder="1" applyAlignment="1">
      <alignment horizontal="center" vertical="center"/>
    </xf>
    <xf numFmtId="1" fontId="20" fillId="0" borderId="3" xfId="0" applyFont="1" applyBorder="1" applyAlignment="1">
      <alignment horizontal="center" vertical="center"/>
    </xf>
    <xf numFmtId="178" fontId="0" fillId="9" borderId="3" xfId="0" applyNumberFormat="1" applyFill="1" applyBorder="1" applyAlignment="1">
      <alignment horizontal="center" vertical="center"/>
    </xf>
    <xf numFmtId="178" fontId="0" fillId="5" borderId="3" xfId="0" applyNumberFormat="1" applyFill="1" applyBorder="1" applyAlignment="1">
      <alignment horizontal="center" vertical="center"/>
    </xf>
    <xf numFmtId="178" fontId="20" fillId="0" borderId="3" xfId="0" applyNumberFormat="1" applyFont="1" applyBorder="1" applyAlignment="1">
      <alignment horizontal="center" vertical="center"/>
    </xf>
  </cellXfs>
  <cellStyles count="33">
    <cellStyle name="aaa" xfId="1" xr:uid="{00000000-0005-0000-0000-000001000000}"/>
    <cellStyle name="bbb" xfId="2" xr:uid="{00000000-0005-0000-0000-000002000000}"/>
    <cellStyle name="Calc Currency (0)" xfId="3" xr:uid="{00000000-0005-0000-0000-000003000000}"/>
    <cellStyle name="entry" xfId="4" xr:uid="{00000000-0005-0000-0000-000004000000}"/>
    <cellStyle name="Grey" xfId="5" xr:uid="{00000000-0005-0000-0000-000005000000}"/>
    <cellStyle name="Header1" xfId="6" xr:uid="{00000000-0005-0000-0000-000006000000}"/>
    <cellStyle name="Header2" xfId="7" xr:uid="{00000000-0005-0000-0000-000007000000}"/>
    <cellStyle name="Input [yellow]" xfId="8" xr:uid="{00000000-0005-0000-0000-000008000000}"/>
    <cellStyle name="MyStyle1" xfId="9" xr:uid="{00000000-0005-0000-0000-000009000000}"/>
    <cellStyle name="MyStyle2" xfId="10" xr:uid="{00000000-0005-0000-0000-00000A000000}"/>
    <cellStyle name="Normal - Style1" xfId="11" xr:uid="{00000000-0005-0000-0000-00000B000000}"/>
    <cellStyle name="Normal_#18-Internet" xfId="12" xr:uid="{00000000-0005-0000-0000-00000C000000}"/>
    <cellStyle name="Percent [2]" xfId="13" xr:uid="{00000000-0005-0000-0000-00000D000000}"/>
    <cellStyle name="price" xfId="14" xr:uid="{00000000-0005-0000-0000-00000E000000}"/>
    <cellStyle name="PSChar" xfId="15" xr:uid="{00000000-0005-0000-0000-00000F000000}"/>
    <cellStyle name="PSHeading" xfId="16" xr:uid="{00000000-0005-0000-0000-000010000000}"/>
    <cellStyle name="revised" xfId="17" xr:uid="{00000000-0005-0000-0000-000011000000}"/>
    <cellStyle name="section" xfId="18" xr:uid="{00000000-0005-0000-0000-000012000000}"/>
    <cellStyle name="title" xfId="19" xr:uid="{00000000-0005-0000-0000-000013000000}"/>
    <cellStyle name="TSUIKA" xfId="20" xr:uid="{00000000-0005-0000-0000-000014000000}"/>
    <cellStyle name="桁区切り" xfId="21" builtinId="6"/>
    <cellStyle name="桁区切り 2" xfId="22" xr:uid="{00000000-0005-0000-0000-000016000000}"/>
    <cellStyle name="桁区切り 3" xfId="23" xr:uid="{00000000-0005-0000-0000-000017000000}"/>
    <cellStyle name="縮小" xfId="24" xr:uid="{00000000-0005-0000-0000-000018000000}"/>
    <cellStyle name="通貨" xfId="25" builtinId="7"/>
    <cellStyle name="標準" xfId="0" builtinId="0"/>
    <cellStyle name="標準 2" xfId="26" xr:uid="{00000000-0005-0000-0000-00001A000000}"/>
    <cellStyle name="標準 2 2" xfId="27" xr:uid="{00000000-0005-0000-0000-00001B000000}"/>
    <cellStyle name="標準 3" xfId="28" xr:uid="{00000000-0005-0000-0000-00001C000000}"/>
    <cellStyle name="標準 4" xfId="29" xr:uid="{00000000-0005-0000-0000-00001D000000}"/>
    <cellStyle name="標準_数量" xfId="30" xr:uid="{00000000-0005-0000-0000-00001E000000}"/>
    <cellStyle name="未定義" xfId="31" xr:uid="{00000000-0005-0000-0000-00001F000000}"/>
    <cellStyle name="明朝書式" xfId="32" xr:uid="{00000000-0005-0000-0000-000020000000}"/>
  </cellStyles>
  <dxfs count="1">
    <dxf>
      <font>
        <b/>
        <condense val="0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137"/>
  <sheetViews>
    <sheetView view="pageBreakPreview" zoomScaleNormal="100" zoomScaleSheetLayoutView="100" workbookViewId="0">
      <selection activeCell="A2" sqref="A2:G2"/>
    </sheetView>
  </sheetViews>
  <sheetFormatPr defaultColWidth="9.140625" defaultRowHeight="12"/>
  <cols>
    <col min="1" max="1" width="1.85546875" style="126" customWidth="1"/>
    <col min="2" max="2" width="16.7109375" style="126" customWidth="1"/>
    <col min="3" max="3" width="22.42578125" style="126" customWidth="1"/>
    <col min="4" max="4" width="28.140625" style="126" customWidth="1"/>
    <col min="5" max="5" width="6.42578125" style="126" customWidth="1"/>
    <col min="6" max="7" width="14.42578125" style="126" customWidth="1"/>
    <col min="8" max="8" width="9.140625" style="126" customWidth="1"/>
    <col min="9" max="16384" width="9.140625" style="126"/>
  </cols>
  <sheetData>
    <row r="1" spans="1:13" ht="15" customHeight="1"/>
    <row r="2" spans="1:13" ht="24.95" customHeight="1">
      <c r="A2" s="244" t="s">
        <v>0</v>
      </c>
      <c r="B2" s="245"/>
      <c r="C2" s="245"/>
      <c r="D2" s="245"/>
      <c r="E2" s="245"/>
      <c r="F2" s="245"/>
      <c r="G2" s="245"/>
    </row>
    <row r="3" spans="1:13" ht="15" customHeight="1" thickBot="1">
      <c r="G3" s="127" t="s">
        <v>1</v>
      </c>
    </row>
    <row r="4" spans="1:13" ht="24.6" customHeight="1">
      <c r="B4" s="128" t="s">
        <v>2</v>
      </c>
      <c r="C4" s="129" t="s">
        <v>3</v>
      </c>
      <c r="D4" s="130" t="s">
        <v>4</v>
      </c>
      <c r="E4" s="131" t="s">
        <v>5</v>
      </c>
      <c r="F4" s="130" t="s">
        <v>6</v>
      </c>
      <c r="G4" s="132" t="s">
        <v>7</v>
      </c>
    </row>
    <row r="5" spans="1:13" ht="24.6" customHeight="1">
      <c r="B5" s="133" t="s">
        <v>8</v>
      </c>
      <c r="C5" s="134" t="s">
        <v>9</v>
      </c>
      <c r="D5" s="135" t="s">
        <v>10</v>
      </c>
      <c r="E5" s="136" t="s">
        <v>11</v>
      </c>
      <c r="F5" s="156">
        <f>掘削!I42</f>
        <v>0</v>
      </c>
      <c r="G5" s="157" t="s">
        <v>12</v>
      </c>
      <c r="I5" s="138"/>
      <c r="J5" s="139"/>
    </row>
    <row r="6" spans="1:13" ht="24.6" customHeight="1">
      <c r="B6" s="133"/>
      <c r="C6" s="134"/>
      <c r="D6" s="135"/>
      <c r="E6" s="136"/>
      <c r="F6" s="156"/>
      <c r="G6" s="157"/>
      <c r="I6" s="138"/>
      <c r="J6" s="139"/>
    </row>
    <row r="7" spans="1:13" ht="24.6" customHeight="1">
      <c r="B7" s="133" t="s">
        <v>13</v>
      </c>
      <c r="C7" s="134" t="s">
        <v>14</v>
      </c>
      <c r="D7" s="135" t="s">
        <v>15</v>
      </c>
      <c r="E7" s="136" t="s">
        <v>11</v>
      </c>
      <c r="F7" s="156">
        <f>路体!I42</f>
        <v>0</v>
      </c>
      <c r="G7" s="157" t="s">
        <v>16</v>
      </c>
      <c r="I7" s="138"/>
      <c r="J7" s="139"/>
    </row>
    <row r="8" spans="1:13" ht="24.6" customHeight="1">
      <c r="B8" s="133"/>
      <c r="C8" s="134"/>
      <c r="D8" s="135" t="s">
        <v>17</v>
      </c>
      <c r="E8" s="136" t="s">
        <v>11</v>
      </c>
      <c r="F8" s="156">
        <f>路体!N42</f>
        <v>0</v>
      </c>
      <c r="G8" s="157" t="s">
        <v>18</v>
      </c>
      <c r="I8" s="138"/>
      <c r="L8" s="140"/>
      <c r="M8" s="138"/>
    </row>
    <row r="9" spans="1:13" ht="24.6" customHeight="1">
      <c r="B9" s="133"/>
      <c r="C9" s="134"/>
      <c r="D9" s="135" t="s">
        <v>19</v>
      </c>
      <c r="E9" s="136" t="s">
        <v>11</v>
      </c>
      <c r="F9" s="156">
        <f>路体!Q42</f>
        <v>0</v>
      </c>
      <c r="G9" s="157" t="s">
        <v>20</v>
      </c>
      <c r="I9" s="138"/>
      <c r="L9" s="140"/>
      <c r="M9" s="138"/>
    </row>
    <row r="10" spans="1:13" ht="24.6" customHeight="1">
      <c r="B10" s="133"/>
      <c r="C10" s="134" t="s">
        <v>21</v>
      </c>
      <c r="D10" s="135" t="s">
        <v>15</v>
      </c>
      <c r="E10" s="136" t="s">
        <v>11</v>
      </c>
      <c r="F10" s="156">
        <f>路床!I42</f>
        <v>0</v>
      </c>
      <c r="G10" s="157" t="s">
        <v>22</v>
      </c>
      <c r="I10" s="138"/>
      <c r="J10" s="139"/>
    </row>
    <row r="11" spans="1:13" ht="24.6" customHeight="1">
      <c r="B11" s="133"/>
      <c r="C11" s="134"/>
      <c r="D11" s="135" t="s">
        <v>17</v>
      </c>
      <c r="E11" s="136" t="s">
        <v>11</v>
      </c>
      <c r="F11" s="156">
        <f>路床!L42</f>
        <v>0</v>
      </c>
      <c r="G11" s="157" t="s">
        <v>23</v>
      </c>
      <c r="I11" s="138"/>
      <c r="J11" s="139"/>
    </row>
    <row r="12" spans="1:13" ht="24.6" customHeight="1">
      <c r="B12" s="133"/>
      <c r="C12" s="134"/>
      <c r="D12" s="135" t="s">
        <v>19</v>
      </c>
      <c r="E12" s="136" t="s">
        <v>11</v>
      </c>
      <c r="F12" s="156">
        <f>路床!O42</f>
        <v>0</v>
      </c>
      <c r="G12" s="157" t="s">
        <v>24</v>
      </c>
      <c r="I12" s="138"/>
      <c r="J12" s="139"/>
    </row>
    <row r="13" spans="1:13" ht="24.6" customHeight="1">
      <c r="B13" s="133"/>
      <c r="C13" s="134" t="s">
        <v>25</v>
      </c>
      <c r="D13" s="135" t="s">
        <v>15</v>
      </c>
      <c r="E13" s="136" t="s">
        <v>11</v>
      </c>
      <c r="F13" s="156">
        <f>路体外!I42</f>
        <v>0</v>
      </c>
      <c r="G13" s="157" t="s">
        <v>26</v>
      </c>
      <c r="I13" s="138"/>
      <c r="J13" s="139"/>
    </row>
    <row r="14" spans="1:13" ht="24.6" customHeight="1">
      <c r="B14" s="133"/>
      <c r="C14" s="134"/>
      <c r="D14" s="135" t="s">
        <v>17</v>
      </c>
      <c r="E14" s="136" t="s">
        <v>11</v>
      </c>
      <c r="F14" s="156">
        <f>路体外!L42</f>
        <v>0</v>
      </c>
      <c r="G14" s="157" t="s">
        <v>27</v>
      </c>
      <c r="I14" s="138"/>
      <c r="J14" s="139"/>
    </row>
    <row r="15" spans="1:13" ht="24.6" customHeight="1">
      <c r="B15" s="133"/>
      <c r="C15" s="134"/>
      <c r="D15" s="135" t="s">
        <v>19</v>
      </c>
      <c r="E15" s="136" t="s">
        <v>11</v>
      </c>
      <c r="F15" s="156">
        <f>路体外!O42</f>
        <v>0</v>
      </c>
      <c r="G15" s="157" t="s">
        <v>28</v>
      </c>
      <c r="I15" s="138"/>
      <c r="J15" s="139"/>
    </row>
    <row r="16" spans="1:13" ht="24.6" customHeight="1">
      <c r="B16" s="133"/>
      <c r="C16" s="134" t="s">
        <v>29</v>
      </c>
      <c r="D16" s="135"/>
      <c r="E16" s="136" t="s">
        <v>11</v>
      </c>
      <c r="F16" s="156">
        <f>路体外!R42</f>
        <v>0</v>
      </c>
      <c r="G16" s="157" t="s">
        <v>30</v>
      </c>
      <c r="I16" s="138"/>
      <c r="J16" s="139"/>
    </row>
    <row r="17" spans="2:10" ht="24.6" customHeight="1">
      <c r="B17" s="133"/>
      <c r="C17" s="134"/>
      <c r="D17" s="135"/>
      <c r="E17" s="136"/>
      <c r="F17" s="156"/>
      <c r="G17" s="157"/>
    </row>
    <row r="18" spans="2:10" ht="24.6" customHeight="1">
      <c r="B18" s="133" t="s">
        <v>31</v>
      </c>
      <c r="C18" s="134" t="s">
        <v>31</v>
      </c>
      <c r="D18" s="135"/>
      <c r="E18" s="136" t="s">
        <v>11</v>
      </c>
      <c r="F18" s="156">
        <f>残土!G26</f>
        <v>0</v>
      </c>
      <c r="G18" s="157"/>
      <c r="I18" s="138"/>
      <c r="J18" s="139"/>
    </row>
    <row r="19" spans="2:10" ht="24.6" customHeight="1">
      <c r="B19" s="133"/>
      <c r="C19" s="134"/>
      <c r="D19" s="135"/>
      <c r="E19" s="136"/>
      <c r="F19" s="156"/>
      <c r="G19" s="157"/>
      <c r="I19" s="138"/>
      <c r="J19" s="139"/>
    </row>
    <row r="20" spans="2:10" ht="24.6" customHeight="1">
      <c r="B20" s="133" t="s">
        <v>32</v>
      </c>
      <c r="C20" s="134" t="s">
        <v>33</v>
      </c>
      <c r="D20" s="135" t="s">
        <v>10</v>
      </c>
      <c r="E20" s="136" t="s">
        <v>34</v>
      </c>
      <c r="F20" s="156">
        <f>法面整形!L42</f>
        <v>0</v>
      </c>
      <c r="G20" s="157" t="s">
        <v>35</v>
      </c>
      <c r="I20" s="138"/>
      <c r="J20" s="139"/>
    </row>
    <row r="21" spans="2:10" ht="24.6" customHeight="1">
      <c r="B21" s="133"/>
      <c r="C21" s="134" t="s">
        <v>36</v>
      </c>
      <c r="D21" s="135"/>
      <c r="E21" s="136" t="s">
        <v>34</v>
      </c>
      <c r="F21" s="156">
        <f>法面整形!R42</f>
        <v>0</v>
      </c>
      <c r="G21" s="157" t="s">
        <v>37</v>
      </c>
    </row>
    <row r="22" spans="2:10" ht="24.6" customHeight="1">
      <c r="B22" s="133"/>
      <c r="C22" s="134"/>
      <c r="D22" s="135"/>
      <c r="E22" s="136"/>
      <c r="F22" s="137"/>
      <c r="G22" s="157"/>
    </row>
    <row r="23" spans="2:10" ht="24.6" customHeight="1">
      <c r="B23" s="133" t="s">
        <v>38</v>
      </c>
      <c r="C23" s="134" t="s">
        <v>39</v>
      </c>
      <c r="D23" s="135" t="s">
        <v>10</v>
      </c>
      <c r="E23" s="136" t="s">
        <v>11</v>
      </c>
      <c r="F23" s="156">
        <f>作業土工2!G48</f>
        <v>1424.3999999999999</v>
      </c>
      <c r="G23" s="157"/>
      <c r="I23" s="141"/>
      <c r="J23" s="141"/>
    </row>
    <row r="24" spans="2:10" ht="24.6" customHeight="1">
      <c r="B24" s="133"/>
      <c r="C24" s="134" t="s">
        <v>40</v>
      </c>
      <c r="D24" s="135" t="s">
        <v>41</v>
      </c>
      <c r="E24" s="136" t="s">
        <v>11</v>
      </c>
      <c r="F24" s="137">
        <f>作業土工2!H48</f>
        <v>723.9000000000002</v>
      </c>
      <c r="G24" s="157"/>
      <c r="I24" s="138"/>
      <c r="J24" s="139"/>
    </row>
    <row r="25" spans="2:10" ht="24.6" customHeight="1">
      <c r="B25" s="133"/>
      <c r="C25" s="134" t="s">
        <v>40</v>
      </c>
      <c r="D25" s="135" t="s">
        <v>42</v>
      </c>
      <c r="E25" s="136" t="s">
        <v>11</v>
      </c>
      <c r="F25" s="137">
        <f>作業土工2!I48</f>
        <v>66.099999999999994</v>
      </c>
      <c r="G25" s="157"/>
      <c r="I25" s="138"/>
      <c r="J25" s="139"/>
    </row>
    <row r="26" spans="2:10" ht="24.6" customHeight="1">
      <c r="B26" s="133"/>
      <c r="C26" s="134" t="s">
        <v>43</v>
      </c>
      <c r="D26" s="135"/>
      <c r="E26" s="136" t="s">
        <v>11</v>
      </c>
      <c r="F26" s="137">
        <f>F23-(F24+F25)/0.9</f>
        <v>546.62222222222181</v>
      </c>
      <c r="G26" s="157" t="s">
        <v>44</v>
      </c>
      <c r="I26" s="141"/>
      <c r="J26" s="141"/>
    </row>
    <row r="27" spans="2:10" ht="24.6" customHeight="1">
      <c r="B27" s="133"/>
      <c r="C27" s="134"/>
      <c r="D27" s="135"/>
      <c r="E27" s="136"/>
      <c r="F27" s="137"/>
      <c r="G27" s="157"/>
      <c r="I27" s="138"/>
      <c r="J27" s="139"/>
    </row>
    <row r="28" spans="2:10" ht="24.6" customHeight="1">
      <c r="B28" s="133"/>
      <c r="C28" s="134"/>
      <c r="D28" s="135"/>
      <c r="E28" s="136"/>
      <c r="F28" s="137"/>
      <c r="G28" s="157"/>
    </row>
    <row r="29" spans="2:10" ht="24.6" customHeight="1">
      <c r="B29" s="133"/>
      <c r="C29" s="134"/>
      <c r="D29" s="135"/>
      <c r="E29" s="136"/>
      <c r="F29" s="137"/>
      <c r="G29" s="157"/>
    </row>
    <row r="30" spans="2:10" ht="24.6" customHeight="1">
      <c r="B30" s="133"/>
      <c r="C30" s="134"/>
      <c r="D30" s="135"/>
      <c r="E30" s="136"/>
      <c r="F30" s="137"/>
      <c r="G30" s="157"/>
    </row>
    <row r="31" spans="2:10" ht="24.6" customHeight="1">
      <c r="B31" s="133"/>
      <c r="C31" s="134"/>
      <c r="D31" s="135"/>
      <c r="E31" s="136"/>
      <c r="F31" s="137"/>
      <c r="G31" s="157"/>
    </row>
    <row r="32" spans="2:10" ht="24.6" customHeight="1">
      <c r="B32" s="133"/>
      <c r="C32" s="134"/>
      <c r="D32" s="135"/>
      <c r="E32" s="136"/>
      <c r="F32" s="137"/>
      <c r="G32" s="157"/>
    </row>
    <row r="33" spans="2:10" ht="24.6" customHeight="1">
      <c r="B33" s="133"/>
      <c r="C33" s="134"/>
      <c r="D33" s="135"/>
      <c r="E33" s="136"/>
      <c r="F33" s="137"/>
      <c r="G33" s="157"/>
      <c r="I33" s="141"/>
      <c r="J33" s="141"/>
    </row>
    <row r="34" spans="2:10" ht="24.6" customHeight="1" thickBot="1">
      <c r="B34" s="142"/>
      <c r="C34" s="143"/>
      <c r="D34" s="144"/>
      <c r="E34" s="145"/>
      <c r="F34" s="146"/>
      <c r="G34" s="158"/>
      <c r="I34" s="138"/>
      <c r="J34" s="139"/>
    </row>
    <row r="35" spans="2:10" ht="24" customHeight="1"/>
    <row r="36" spans="2:10" ht="24" customHeight="1"/>
    <row r="37" spans="2:10" ht="24" customHeight="1"/>
    <row r="38" spans="2:10" ht="24" customHeight="1"/>
    <row r="39" spans="2:10" ht="24" customHeight="1"/>
    <row r="40" spans="2:10" ht="24" customHeight="1"/>
    <row r="41" spans="2:10" ht="24" customHeight="1"/>
    <row r="42" spans="2:10" ht="24" customHeight="1"/>
    <row r="43" spans="2:10" ht="24" customHeight="1"/>
    <row r="44" spans="2:10" ht="24" customHeight="1"/>
    <row r="45" spans="2:10" ht="24" customHeight="1"/>
    <row r="46" spans="2:10" ht="24" customHeight="1"/>
    <row r="47" spans="2:10" ht="24" customHeight="1"/>
    <row r="48" spans="2:10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  <row r="80" ht="24" customHeight="1"/>
    <row r="81" ht="24" customHeight="1"/>
    <row r="82" ht="24" customHeight="1"/>
    <row r="83" ht="24" customHeight="1"/>
    <row r="84" ht="24" customHeight="1"/>
    <row r="85" ht="24" customHeight="1"/>
    <row r="86" ht="24" customHeight="1"/>
    <row r="87" ht="24" customHeight="1"/>
    <row r="88" ht="24" customHeight="1"/>
    <row r="89" ht="24" customHeight="1"/>
    <row r="90" ht="24" customHeight="1"/>
    <row r="91" ht="24" customHeight="1"/>
    <row r="92" ht="24" customHeight="1"/>
    <row r="93" ht="24" customHeight="1"/>
    <row r="94" ht="24" customHeight="1"/>
    <row r="95" ht="24" customHeight="1"/>
    <row r="96" ht="24" customHeight="1"/>
    <row r="97" ht="24" customHeight="1"/>
    <row r="98" ht="24" customHeight="1"/>
    <row r="99" ht="24" customHeight="1"/>
    <row r="100" ht="24" customHeight="1"/>
    <row r="101" ht="24" customHeight="1"/>
    <row r="102" ht="24" customHeight="1"/>
    <row r="103" ht="24" customHeight="1"/>
    <row r="104" ht="24" customHeight="1"/>
    <row r="105" ht="24" customHeight="1"/>
    <row r="106" ht="24" customHeight="1"/>
    <row r="107" ht="24" customHeight="1"/>
    <row r="108" ht="24" customHeight="1"/>
    <row r="109" ht="24" customHeight="1"/>
    <row r="110" ht="24" customHeight="1"/>
    <row r="111" ht="24" customHeight="1"/>
    <row r="112" ht="24" customHeight="1"/>
    <row r="113" ht="24" customHeight="1"/>
    <row r="114" ht="24" customHeight="1"/>
    <row r="115" ht="24" customHeight="1"/>
    <row r="116" ht="24" customHeight="1"/>
    <row r="117" ht="24" customHeight="1"/>
    <row r="118" ht="24" customHeight="1"/>
    <row r="119" ht="24" customHeight="1"/>
    <row r="120" ht="24" customHeight="1"/>
    <row r="121" ht="24" customHeight="1"/>
    <row r="122" ht="24" customHeight="1"/>
    <row r="123" ht="24" customHeight="1"/>
    <row r="124" ht="24" customHeight="1"/>
    <row r="125" ht="24" customHeight="1"/>
    <row r="126" ht="24" customHeight="1"/>
    <row r="127" ht="24" customHeight="1"/>
    <row r="128" ht="24" customHeight="1"/>
    <row r="129" ht="24" customHeight="1"/>
    <row r="130" ht="24" customHeight="1"/>
    <row r="131" ht="24" customHeight="1"/>
    <row r="132" ht="24" customHeight="1"/>
    <row r="133" ht="24" customHeight="1"/>
    <row r="134" ht="24" customHeight="1"/>
    <row r="135" ht="24" customHeight="1"/>
    <row r="136" ht="24" customHeight="1"/>
    <row r="137" ht="24" customHeight="1"/>
    <row r="138" ht="24" customHeight="1"/>
    <row r="139" ht="24" customHeight="1"/>
    <row r="140" ht="24" customHeight="1"/>
    <row r="141" ht="24" customHeight="1"/>
    <row r="142" ht="24" customHeight="1"/>
    <row r="143" ht="24" customHeight="1"/>
    <row r="144" ht="24" customHeight="1"/>
    <row r="145" ht="24" customHeight="1"/>
    <row r="146" ht="24" customHeight="1"/>
    <row r="147" ht="24" customHeight="1"/>
    <row r="148" ht="24" customHeight="1"/>
    <row r="149" ht="24" customHeight="1"/>
    <row r="150" ht="24" customHeight="1"/>
    <row r="151" ht="24" customHeight="1"/>
    <row r="152" ht="24" customHeight="1"/>
    <row r="153" ht="24" customHeight="1"/>
    <row r="154" ht="24" customHeight="1"/>
    <row r="155" ht="24" customHeight="1"/>
    <row r="156" ht="24" customHeight="1"/>
    <row r="157" ht="24" customHeight="1"/>
    <row r="158" ht="24" customHeight="1"/>
    <row r="159" ht="24" customHeight="1"/>
    <row r="160" ht="24" customHeight="1"/>
    <row r="161" ht="24" customHeight="1"/>
    <row r="162" ht="24" customHeight="1"/>
    <row r="163" ht="24" customHeight="1"/>
    <row r="164" ht="24" customHeight="1"/>
    <row r="165" ht="24" customHeight="1"/>
    <row r="166" ht="24" customHeight="1"/>
    <row r="167" ht="24" customHeight="1"/>
    <row r="168" ht="24" customHeight="1"/>
    <row r="169" ht="24" customHeight="1"/>
    <row r="170" ht="24" customHeight="1"/>
    <row r="171" ht="24" customHeight="1"/>
    <row r="172" ht="24" customHeight="1"/>
    <row r="173" ht="24" customHeight="1"/>
    <row r="174" ht="24" customHeight="1"/>
    <row r="175" ht="24" customHeight="1"/>
    <row r="176" ht="24" customHeight="1"/>
    <row r="177" ht="24" customHeight="1"/>
    <row r="178" ht="24" customHeight="1"/>
    <row r="179" ht="24" customHeight="1"/>
    <row r="180" ht="24" customHeight="1"/>
    <row r="181" ht="24" customHeight="1"/>
    <row r="182" ht="24" customHeight="1"/>
    <row r="183" ht="24" customHeight="1"/>
    <row r="184" ht="24" customHeight="1"/>
    <row r="185" ht="24" customHeight="1"/>
    <row r="186" ht="24" customHeight="1"/>
    <row r="187" ht="24" customHeight="1"/>
    <row r="188" ht="24" customHeight="1"/>
    <row r="189" ht="24" customHeight="1"/>
    <row r="190" ht="24" customHeight="1"/>
    <row r="191" ht="24" customHeight="1"/>
    <row r="192" ht="24" customHeight="1"/>
    <row r="193" ht="24" customHeight="1"/>
    <row r="194" ht="24" customHeight="1"/>
    <row r="195" ht="24" customHeight="1"/>
    <row r="196" ht="24" customHeight="1"/>
    <row r="197" ht="24" customHeight="1"/>
    <row r="198" ht="24" customHeight="1"/>
    <row r="199" ht="24" customHeight="1"/>
    <row r="200" ht="24" customHeight="1"/>
    <row r="201" ht="24" customHeight="1"/>
    <row r="202" ht="24" customHeight="1"/>
    <row r="203" ht="24" customHeight="1"/>
    <row r="204" ht="24" customHeight="1"/>
    <row r="205" ht="24" customHeight="1"/>
    <row r="206" ht="24" customHeight="1"/>
    <row r="207" ht="24" customHeight="1"/>
    <row r="208" ht="24" customHeight="1"/>
    <row r="209" ht="24" customHeight="1"/>
    <row r="210" ht="24" customHeight="1"/>
    <row r="211" ht="24" customHeight="1"/>
    <row r="212" ht="24" customHeight="1"/>
    <row r="213" ht="24" customHeight="1"/>
    <row r="214" ht="24" customHeight="1"/>
    <row r="215" ht="24" customHeight="1"/>
    <row r="216" ht="24" customHeight="1"/>
    <row r="217" ht="24" customHeight="1"/>
    <row r="218" ht="24" customHeight="1"/>
    <row r="219" ht="24" customHeight="1"/>
    <row r="220" ht="24" customHeight="1"/>
    <row r="221" ht="24" customHeight="1"/>
    <row r="222" ht="24" customHeight="1"/>
    <row r="223" ht="24" customHeight="1"/>
    <row r="224" ht="24" customHeight="1"/>
    <row r="225" ht="24" customHeight="1"/>
    <row r="226" ht="24" customHeight="1"/>
    <row r="227" ht="24" customHeight="1"/>
    <row r="228" ht="24" customHeight="1"/>
    <row r="229" ht="24" customHeight="1"/>
    <row r="230" ht="24" customHeight="1"/>
    <row r="231" ht="24" customHeight="1"/>
    <row r="232" ht="24" customHeight="1"/>
    <row r="233" ht="24" customHeight="1"/>
    <row r="234" ht="24" customHeight="1"/>
    <row r="235" ht="24" customHeight="1"/>
    <row r="236" ht="24" customHeight="1"/>
    <row r="237" ht="24" customHeight="1"/>
    <row r="238" ht="24" customHeight="1"/>
    <row r="239" ht="24" customHeight="1"/>
    <row r="240" ht="24" customHeight="1"/>
    <row r="241" ht="24" customHeight="1"/>
    <row r="242" ht="24" customHeight="1"/>
    <row r="243" ht="24" customHeight="1"/>
    <row r="244" ht="24" customHeight="1"/>
    <row r="245" ht="24" customHeight="1"/>
    <row r="246" ht="24" customHeight="1"/>
    <row r="247" ht="24" customHeight="1"/>
    <row r="248" ht="24" customHeight="1"/>
    <row r="249" ht="24" customHeight="1"/>
    <row r="250" ht="24" customHeight="1"/>
    <row r="251" ht="24" customHeight="1"/>
    <row r="252" ht="24" customHeight="1"/>
    <row r="253" ht="24" customHeight="1"/>
    <row r="254" ht="24" customHeight="1"/>
    <row r="255" ht="24" customHeight="1"/>
    <row r="256" ht="24" customHeight="1"/>
    <row r="257" ht="24" customHeight="1"/>
    <row r="258" ht="24" customHeight="1"/>
    <row r="259" ht="24" customHeight="1"/>
    <row r="260" ht="24" customHeight="1"/>
    <row r="261" ht="24" customHeight="1"/>
    <row r="262" ht="24" customHeight="1"/>
    <row r="263" ht="24" customHeight="1"/>
    <row r="264" ht="24" customHeight="1"/>
    <row r="265" ht="24" customHeight="1"/>
    <row r="266" ht="24" customHeight="1"/>
    <row r="267" ht="24" customHeight="1"/>
    <row r="268" ht="24" customHeight="1"/>
    <row r="269" ht="24" customHeight="1"/>
    <row r="270" ht="24" customHeight="1"/>
    <row r="271" ht="24" customHeight="1"/>
    <row r="272" ht="24" customHeight="1"/>
    <row r="273" ht="24" customHeight="1"/>
    <row r="274" ht="24" customHeight="1"/>
    <row r="275" ht="24" customHeight="1"/>
    <row r="276" ht="24" customHeight="1"/>
    <row r="277" ht="24" customHeight="1"/>
    <row r="278" ht="24" customHeight="1"/>
    <row r="279" ht="24" customHeight="1"/>
    <row r="280" ht="24" customHeight="1"/>
    <row r="281" ht="24" customHeight="1"/>
    <row r="282" ht="24" customHeight="1"/>
    <row r="283" ht="24" customHeight="1"/>
    <row r="284" ht="24" customHeight="1"/>
    <row r="285" ht="24" customHeight="1"/>
    <row r="286" ht="24" customHeight="1"/>
    <row r="287" ht="24" customHeight="1"/>
    <row r="288" ht="24" customHeight="1"/>
    <row r="289" ht="24" customHeight="1"/>
    <row r="290" ht="24" customHeight="1"/>
    <row r="291" ht="24" customHeight="1"/>
    <row r="292" ht="24" customHeight="1"/>
    <row r="293" ht="24" customHeight="1"/>
    <row r="294" ht="24" customHeight="1"/>
    <row r="295" ht="24" customHeight="1"/>
    <row r="296" ht="24" customHeight="1"/>
    <row r="297" ht="24" customHeight="1"/>
    <row r="298" ht="24" customHeight="1"/>
    <row r="299" ht="24" customHeight="1"/>
    <row r="300" ht="24" customHeight="1"/>
    <row r="301" ht="24" customHeight="1"/>
    <row r="302" ht="24" customHeight="1"/>
    <row r="303" ht="24" customHeight="1"/>
    <row r="304" ht="24" customHeight="1"/>
    <row r="305" ht="24" customHeight="1"/>
    <row r="306" ht="24" customHeight="1"/>
    <row r="307" ht="24" customHeight="1"/>
    <row r="308" ht="24" customHeight="1"/>
    <row r="309" ht="24" customHeight="1"/>
    <row r="310" ht="24" customHeight="1"/>
    <row r="311" ht="24" customHeight="1"/>
    <row r="312" ht="24" customHeight="1"/>
    <row r="313" ht="24" customHeight="1"/>
    <row r="314" ht="24" customHeight="1"/>
    <row r="315" ht="24" customHeight="1"/>
    <row r="316" ht="24" customHeight="1"/>
    <row r="317" ht="24" customHeight="1"/>
    <row r="318" ht="24" customHeight="1"/>
    <row r="319" ht="24" customHeight="1"/>
    <row r="320" ht="24" customHeight="1"/>
    <row r="321" ht="24" customHeight="1"/>
    <row r="322" ht="24" customHeight="1"/>
    <row r="323" ht="24" customHeight="1"/>
    <row r="324" ht="24" customHeight="1"/>
    <row r="325" ht="24" customHeight="1"/>
    <row r="326" ht="24" customHeight="1"/>
    <row r="327" ht="24" customHeight="1"/>
    <row r="328" ht="24" customHeight="1"/>
    <row r="329" ht="24" customHeight="1"/>
    <row r="330" ht="24" customHeight="1"/>
    <row r="331" ht="24" customHeight="1"/>
    <row r="332" ht="24" customHeight="1"/>
    <row r="333" ht="24" customHeight="1"/>
    <row r="334" ht="24" customHeight="1"/>
    <row r="335" ht="24" customHeight="1"/>
    <row r="336" ht="24" customHeight="1"/>
    <row r="337" ht="24" customHeight="1"/>
    <row r="338" ht="24" customHeight="1"/>
    <row r="339" ht="24" customHeight="1"/>
    <row r="340" ht="24" customHeight="1"/>
    <row r="341" ht="24" customHeight="1"/>
    <row r="342" ht="24" customHeight="1"/>
    <row r="343" ht="24" customHeight="1"/>
    <row r="344" ht="24" customHeight="1"/>
    <row r="345" ht="24" customHeight="1"/>
    <row r="346" ht="24" customHeight="1"/>
    <row r="347" ht="24" customHeight="1"/>
    <row r="348" ht="24" customHeight="1"/>
    <row r="349" ht="24" customHeight="1"/>
    <row r="350" ht="24" customHeight="1"/>
    <row r="351" ht="24" customHeight="1"/>
    <row r="352" ht="24" customHeight="1"/>
    <row r="353" ht="24" customHeight="1"/>
    <row r="354" ht="24" customHeight="1"/>
    <row r="355" ht="24" customHeight="1"/>
    <row r="356" ht="24" customHeight="1"/>
    <row r="357" ht="24" customHeight="1"/>
    <row r="358" ht="24" customHeight="1"/>
    <row r="359" ht="24" customHeight="1"/>
    <row r="360" ht="24" customHeight="1"/>
    <row r="361" ht="24" customHeight="1"/>
    <row r="362" ht="24" customHeight="1"/>
    <row r="363" ht="24" customHeight="1"/>
    <row r="364" ht="24" customHeight="1"/>
    <row r="365" ht="24" customHeight="1"/>
    <row r="366" ht="24" customHeight="1"/>
    <row r="367" ht="24" customHeight="1"/>
    <row r="368" ht="24" customHeight="1"/>
    <row r="369" ht="24" customHeight="1"/>
    <row r="370" ht="24" customHeight="1"/>
    <row r="371" ht="24" customHeight="1"/>
    <row r="372" ht="24" customHeight="1"/>
    <row r="373" ht="24" customHeight="1"/>
    <row r="374" ht="24" customHeight="1"/>
    <row r="375" ht="24" customHeight="1"/>
    <row r="376" ht="24" customHeight="1"/>
    <row r="377" ht="24" customHeight="1"/>
    <row r="378" ht="24" customHeight="1"/>
    <row r="379" ht="24" customHeight="1"/>
    <row r="380" ht="24" customHeight="1"/>
    <row r="381" ht="24" customHeight="1"/>
    <row r="382" ht="24" customHeight="1"/>
    <row r="383" ht="24" customHeight="1"/>
    <row r="384" ht="24" customHeight="1"/>
    <row r="385" ht="24" customHeight="1"/>
    <row r="386" ht="24" customHeight="1"/>
    <row r="387" ht="24" customHeight="1"/>
    <row r="388" ht="24" customHeight="1"/>
    <row r="389" ht="24" customHeight="1"/>
    <row r="390" ht="24" customHeight="1"/>
    <row r="391" ht="24" customHeight="1"/>
    <row r="392" ht="24" customHeight="1"/>
    <row r="393" ht="24" customHeight="1"/>
    <row r="394" ht="24" customHeight="1"/>
    <row r="395" ht="24" customHeight="1"/>
    <row r="396" ht="24" customHeight="1"/>
    <row r="397" ht="24" customHeight="1"/>
    <row r="398" ht="24" customHeight="1"/>
    <row r="399" ht="24" customHeight="1"/>
    <row r="400" ht="24" customHeight="1"/>
    <row r="401" ht="24" customHeight="1"/>
    <row r="402" ht="24" customHeight="1"/>
    <row r="403" ht="24" customHeight="1"/>
    <row r="404" ht="24" customHeight="1"/>
    <row r="405" ht="24" customHeight="1"/>
    <row r="406" ht="24" customHeight="1"/>
    <row r="407" ht="24" customHeight="1"/>
    <row r="408" ht="24" customHeight="1"/>
    <row r="409" ht="24" customHeight="1"/>
    <row r="410" ht="24" customHeight="1"/>
    <row r="411" ht="24" customHeight="1"/>
    <row r="412" ht="24" customHeight="1"/>
    <row r="413" ht="24" customHeight="1"/>
    <row r="414" ht="24" customHeight="1"/>
    <row r="415" ht="24" customHeight="1"/>
    <row r="416" ht="24" customHeight="1"/>
    <row r="417" ht="24" customHeight="1"/>
    <row r="418" ht="24" customHeight="1"/>
    <row r="419" ht="24" customHeight="1"/>
    <row r="420" ht="24" customHeight="1"/>
    <row r="421" ht="24" customHeight="1"/>
    <row r="422" ht="24" customHeight="1"/>
    <row r="423" ht="24" customHeight="1"/>
    <row r="424" ht="24" customHeight="1"/>
    <row r="425" ht="24" customHeight="1"/>
    <row r="426" ht="24" customHeight="1"/>
    <row r="427" ht="24" customHeight="1"/>
    <row r="428" ht="24" customHeight="1"/>
    <row r="429" ht="24" customHeight="1"/>
    <row r="430" ht="24" customHeight="1"/>
    <row r="431" ht="24" customHeight="1"/>
    <row r="432" ht="24" customHeight="1"/>
    <row r="433" ht="24" customHeight="1"/>
    <row r="434" ht="24" customHeight="1"/>
    <row r="435" ht="24" customHeight="1"/>
    <row r="436" ht="24" customHeight="1"/>
    <row r="437" ht="24" customHeight="1"/>
    <row r="438" ht="24" customHeight="1"/>
    <row r="439" ht="24" customHeight="1"/>
    <row r="440" ht="24" customHeight="1"/>
    <row r="441" ht="24" customHeight="1"/>
    <row r="442" ht="24" customHeight="1"/>
    <row r="443" ht="24" customHeight="1"/>
    <row r="444" ht="24" customHeight="1"/>
    <row r="445" ht="24" customHeight="1"/>
    <row r="446" ht="24" customHeight="1"/>
    <row r="447" ht="24" customHeight="1"/>
    <row r="448" ht="24" customHeight="1"/>
    <row r="449" ht="24" customHeight="1"/>
    <row r="450" ht="24" customHeight="1"/>
    <row r="451" ht="24" customHeight="1"/>
    <row r="452" ht="24" customHeight="1"/>
    <row r="453" ht="24" customHeight="1"/>
    <row r="454" ht="24" customHeight="1"/>
    <row r="455" ht="24" customHeight="1"/>
    <row r="456" ht="24" customHeight="1"/>
    <row r="457" ht="24" customHeight="1"/>
    <row r="458" ht="24" customHeight="1"/>
    <row r="459" ht="24" customHeight="1"/>
    <row r="460" ht="24" customHeight="1"/>
    <row r="461" ht="24" customHeight="1"/>
    <row r="462" ht="24" customHeight="1"/>
    <row r="463" ht="24" customHeight="1"/>
    <row r="464" ht="24" customHeight="1"/>
    <row r="465" ht="24" customHeight="1"/>
    <row r="466" ht="24" customHeight="1"/>
    <row r="467" ht="24" customHeight="1"/>
    <row r="468" ht="24" customHeight="1"/>
    <row r="469" ht="24" customHeight="1"/>
    <row r="470" ht="24" customHeight="1"/>
    <row r="471" ht="24" customHeight="1"/>
    <row r="472" ht="24" customHeight="1"/>
    <row r="473" ht="24" customHeight="1"/>
    <row r="474" ht="24" customHeight="1"/>
    <row r="475" ht="24" customHeight="1"/>
    <row r="476" ht="24" customHeight="1"/>
    <row r="477" ht="24" customHeight="1"/>
    <row r="478" ht="24" customHeight="1"/>
    <row r="479" ht="24" customHeight="1"/>
    <row r="480" ht="24" customHeight="1"/>
    <row r="481" ht="24" customHeight="1"/>
    <row r="482" ht="24" customHeight="1"/>
    <row r="483" ht="24" customHeight="1"/>
    <row r="484" ht="24" customHeight="1"/>
    <row r="485" ht="24" customHeight="1"/>
    <row r="486" ht="24" customHeight="1"/>
    <row r="487" ht="24" customHeight="1"/>
    <row r="488" ht="24" customHeight="1"/>
    <row r="489" ht="24" customHeight="1"/>
    <row r="490" ht="24" customHeight="1"/>
    <row r="491" ht="24" customHeight="1"/>
    <row r="492" ht="24" customHeight="1"/>
    <row r="493" ht="24" customHeight="1"/>
    <row r="494" ht="24" customHeight="1"/>
    <row r="495" ht="24" customHeight="1"/>
    <row r="496" ht="24" customHeight="1"/>
    <row r="497" ht="24" customHeight="1"/>
    <row r="498" ht="24" customHeight="1"/>
    <row r="499" ht="24" customHeight="1"/>
    <row r="500" ht="24" customHeight="1"/>
    <row r="501" ht="24" customHeight="1"/>
    <row r="502" ht="24" customHeight="1"/>
    <row r="503" ht="24" customHeight="1"/>
    <row r="504" ht="24" customHeight="1"/>
    <row r="505" ht="24" customHeight="1"/>
    <row r="506" ht="24" customHeight="1"/>
    <row r="507" ht="24" customHeight="1"/>
    <row r="508" ht="24" customHeight="1"/>
    <row r="509" ht="24" customHeight="1"/>
    <row r="510" ht="24" customHeight="1"/>
    <row r="511" ht="24" customHeight="1"/>
    <row r="512" ht="24" customHeight="1"/>
    <row r="513" ht="24" customHeight="1"/>
    <row r="514" ht="24" customHeight="1"/>
    <row r="515" ht="24" customHeight="1"/>
    <row r="516" ht="24" customHeight="1"/>
    <row r="517" ht="24" customHeight="1"/>
    <row r="518" ht="24" customHeight="1"/>
    <row r="519" ht="24" customHeight="1"/>
    <row r="520" ht="24" customHeight="1"/>
    <row r="521" ht="24" customHeight="1"/>
    <row r="522" ht="24" customHeight="1"/>
    <row r="523" ht="24" customHeight="1"/>
    <row r="524" ht="24" customHeight="1"/>
    <row r="525" ht="24" customHeight="1"/>
    <row r="526" ht="24" customHeight="1"/>
    <row r="527" ht="24" customHeight="1"/>
    <row r="528" ht="24" customHeight="1"/>
    <row r="529" ht="24" customHeight="1"/>
    <row r="530" ht="24" customHeight="1"/>
    <row r="531" ht="24" customHeight="1"/>
    <row r="532" ht="24" customHeight="1"/>
    <row r="533" ht="24" customHeight="1"/>
    <row r="534" ht="24" customHeight="1"/>
    <row r="535" ht="24" customHeight="1"/>
    <row r="536" ht="24" customHeight="1"/>
    <row r="537" ht="24" customHeight="1"/>
    <row r="538" ht="24" customHeight="1"/>
    <row r="539" ht="24" customHeight="1"/>
    <row r="540" ht="24" customHeight="1"/>
    <row r="541" ht="24" customHeight="1"/>
    <row r="542" ht="24" customHeight="1"/>
    <row r="543" ht="24" customHeight="1"/>
    <row r="544" ht="24" customHeight="1"/>
    <row r="545" ht="24" customHeight="1"/>
    <row r="546" ht="24" customHeight="1"/>
    <row r="547" ht="24" customHeight="1"/>
    <row r="548" ht="24" customHeight="1"/>
    <row r="549" ht="24" customHeight="1"/>
    <row r="550" ht="24" customHeight="1"/>
    <row r="551" ht="24" customHeight="1"/>
    <row r="552" ht="24" customHeight="1"/>
    <row r="553" ht="24" customHeight="1"/>
    <row r="554" ht="24" customHeight="1"/>
    <row r="555" ht="24" customHeight="1"/>
    <row r="556" ht="24" customHeight="1"/>
    <row r="557" ht="24" customHeight="1"/>
    <row r="558" ht="24" customHeight="1"/>
    <row r="559" ht="24" customHeight="1"/>
    <row r="560" ht="24" customHeight="1"/>
    <row r="561" ht="24" customHeight="1"/>
    <row r="562" ht="24" customHeight="1"/>
    <row r="563" ht="24" customHeight="1"/>
    <row r="564" ht="24" customHeight="1"/>
    <row r="565" ht="24" customHeight="1"/>
    <row r="566" ht="24" customHeight="1"/>
    <row r="567" ht="24" customHeight="1"/>
    <row r="568" ht="24" customHeight="1"/>
    <row r="569" ht="24" customHeight="1"/>
    <row r="570" ht="24" customHeight="1"/>
    <row r="571" ht="24" customHeight="1"/>
    <row r="572" ht="24" customHeight="1"/>
    <row r="573" ht="24" customHeight="1"/>
    <row r="574" ht="24" customHeight="1"/>
    <row r="575" ht="24" customHeight="1"/>
    <row r="576" ht="24" customHeight="1"/>
    <row r="577" ht="24" customHeight="1"/>
    <row r="578" ht="24" customHeight="1"/>
    <row r="579" ht="24" customHeight="1"/>
    <row r="580" ht="24" customHeight="1"/>
    <row r="581" ht="24" customHeight="1"/>
    <row r="582" ht="24" customHeight="1"/>
    <row r="583" ht="24" customHeight="1"/>
    <row r="584" ht="24" customHeight="1"/>
    <row r="585" ht="24" customHeight="1"/>
    <row r="586" ht="24" customHeight="1"/>
    <row r="587" ht="24" customHeight="1"/>
    <row r="588" ht="24" customHeight="1"/>
    <row r="589" ht="24" customHeight="1"/>
    <row r="590" ht="24" customHeight="1"/>
    <row r="591" ht="24" customHeight="1"/>
    <row r="592" ht="24" customHeight="1"/>
    <row r="593" ht="24" customHeight="1"/>
    <row r="594" ht="24" customHeight="1"/>
    <row r="595" ht="24" customHeight="1"/>
    <row r="596" ht="24" customHeight="1"/>
    <row r="597" ht="24" customHeight="1"/>
    <row r="598" ht="24" customHeight="1"/>
    <row r="599" ht="24" customHeight="1"/>
    <row r="600" ht="24" customHeight="1"/>
    <row r="601" ht="24" customHeight="1"/>
    <row r="602" ht="24" customHeight="1"/>
    <row r="603" ht="24" customHeight="1"/>
    <row r="604" ht="24" customHeight="1"/>
    <row r="605" ht="24" customHeight="1"/>
    <row r="606" ht="24" customHeight="1"/>
    <row r="607" ht="24" customHeight="1"/>
    <row r="608" ht="24" customHeight="1"/>
    <row r="609" ht="24" customHeight="1"/>
    <row r="610" ht="24" customHeight="1"/>
    <row r="611" ht="24" customHeight="1"/>
    <row r="612" ht="24" customHeight="1"/>
    <row r="613" ht="24" customHeight="1"/>
    <row r="614" ht="24" customHeight="1"/>
    <row r="615" ht="24" customHeight="1"/>
    <row r="616" ht="24" customHeight="1"/>
    <row r="617" ht="24" customHeight="1"/>
    <row r="618" ht="24" customHeight="1"/>
    <row r="619" ht="24" customHeight="1"/>
    <row r="620" ht="24" customHeight="1"/>
    <row r="621" ht="24" customHeight="1"/>
    <row r="622" ht="24" customHeight="1"/>
    <row r="623" ht="24" customHeight="1"/>
    <row r="624" ht="24" customHeight="1"/>
    <row r="625" ht="24" customHeight="1"/>
    <row r="626" ht="24" customHeight="1"/>
    <row r="627" ht="24" customHeight="1"/>
    <row r="628" ht="24" customHeight="1"/>
    <row r="629" ht="24" customHeight="1"/>
    <row r="630" ht="24" customHeight="1"/>
    <row r="631" ht="24" customHeight="1"/>
    <row r="632" ht="24" customHeight="1"/>
    <row r="633" ht="24" customHeight="1"/>
    <row r="634" ht="24" customHeight="1"/>
    <row r="635" ht="24" customHeight="1"/>
    <row r="636" ht="24" customHeight="1"/>
    <row r="637" ht="24" customHeight="1"/>
    <row r="638" ht="24" customHeight="1"/>
    <row r="639" ht="24" customHeight="1"/>
    <row r="640" ht="24" customHeight="1"/>
    <row r="641" ht="24" customHeight="1"/>
    <row r="642" ht="24" customHeight="1"/>
    <row r="643" ht="24" customHeight="1"/>
    <row r="644" ht="24" customHeight="1"/>
    <row r="645" ht="24" customHeight="1"/>
    <row r="646" ht="24" customHeight="1"/>
    <row r="647" ht="24" customHeight="1"/>
    <row r="648" ht="24" customHeight="1"/>
    <row r="649" ht="24" customHeight="1"/>
    <row r="650" ht="24" customHeight="1"/>
    <row r="651" ht="24" customHeight="1"/>
    <row r="652" ht="24" customHeight="1"/>
    <row r="653" ht="24" customHeight="1"/>
    <row r="654" ht="24" customHeight="1"/>
    <row r="655" ht="24" customHeight="1"/>
    <row r="656" ht="24" customHeight="1"/>
    <row r="657" ht="24" customHeight="1"/>
    <row r="658" ht="24" customHeight="1"/>
    <row r="659" ht="24" customHeight="1"/>
    <row r="660" ht="24" customHeight="1"/>
    <row r="661" ht="24" customHeight="1"/>
    <row r="662" ht="24" customHeight="1"/>
    <row r="663" ht="24" customHeight="1"/>
    <row r="664" ht="24" customHeight="1"/>
    <row r="665" ht="24" customHeight="1"/>
    <row r="666" ht="24" customHeight="1"/>
    <row r="667" ht="24" customHeight="1"/>
    <row r="668" ht="24" customHeight="1"/>
    <row r="669" ht="24" customHeight="1"/>
    <row r="670" ht="24" customHeight="1"/>
    <row r="671" ht="24" customHeight="1"/>
    <row r="672" ht="24" customHeight="1"/>
    <row r="673" ht="24" customHeight="1"/>
    <row r="674" ht="24" customHeight="1"/>
    <row r="675" ht="24" customHeight="1"/>
    <row r="676" ht="24" customHeight="1"/>
    <row r="677" ht="24" customHeight="1"/>
    <row r="678" ht="24" customHeight="1"/>
    <row r="679" ht="24" customHeight="1"/>
    <row r="680" ht="24" customHeight="1"/>
    <row r="681" ht="24" customHeight="1"/>
    <row r="682" ht="24" customHeight="1"/>
    <row r="683" ht="24" customHeight="1"/>
    <row r="684" ht="24" customHeight="1"/>
    <row r="685" ht="24" customHeight="1"/>
    <row r="686" ht="24" customHeight="1"/>
    <row r="687" ht="24" customHeight="1"/>
    <row r="688" ht="24" customHeight="1"/>
    <row r="689" ht="24" customHeight="1"/>
    <row r="690" ht="24" customHeight="1"/>
    <row r="691" ht="24" customHeight="1"/>
    <row r="692" ht="24" customHeight="1"/>
    <row r="693" ht="24" customHeight="1"/>
    <row r="694" ht="24" customHeight="1"/>
    <row r="695" ht="24" customHeight="1"/>
    <row r="696" ht="24" customHeight="1"/>
    <row r="697" ht="24" customHeight="1"/>
    <row r="698" ht="24" customHeight="1"/>
    <row r="699" ht="24" customHeight="1"/>
    <row r="700" ht="24" customHeight="1"/>
    <row r="701" ht="24" customHeight="1"/>
    <row r="702" ht="24" customHeight="1"/>
    <row r="703" ht="24" customHeight="1"/>
    <row r="704" ht="24" customHeight="1"/>
    <row r="705" ht="24" customHeight="1"/>
    <row r="706" ht="24" customHeight="1"/>
    <row r="707" ht="24" customHeight="1"/>
    <row r="708" ht="24" customHeight="1"/>
    <row r="709" ht="24" customHeight="1"/>
    <row r="710" ht="24" customHeight="1"/>
    <row r="711" ht="24" customHeight="1"/>
    <row r="712" ht="24" customHeight="1"/>
    <row r="713" ht="24" customHeight="1"/>
    <row r="714" ht="24" customHeight="1"/>
    <row r="715" ht="24" customHeight="1"/>
    <row r="716" ht="24" customHeight="1"/>
    <row r="717" ht="24" customHeight="1"/>
    <row r="718" ht="24" customHeight="1"/>
    <row r="719" ht="24" customHeight="1"/>
    <row r="720" ht="24" customHeight="1"/>
    <row r="721" ht="24" customHeight="1"/>
    <row r="722" ht="24" customHeight="1"/>
    <row r="723" ht="24" customHeight="1"/>
    <row r="724" ht="24" customHeight="1"/>
    <row r="725" ht="24" customHeight="1"/>
    <row r="726" ht="24" customHeight="1"/>
    <row r="727" ht="24" customHeight="1"/>
    <row r="728" ht="24" customHeight="1"/>
    <row r="729" ht="24" customHeight="1"/>
    <row r="730" ht="24" customHeight="1"/>
    <row r="731" ht="24" customHeight="1"/>
    <row r="732" ht="24" customHeight="1"/>
    <row r="733" ht="24" customHeight="1"/>
    <row r="734" ht="24" customHeight="1"/>
    <row r="735" ht="24" customHeight="1"/>
    <row r="736" ht="24" customHeight="1"/>
    <row r="737" ht="24" customHeight="1"/>
    <row r="738" ht="24" customHeight="1"/>
    <row r="739" ht="24" customHeight="1"/>
    <row r="740" ht="24" customHeight="1"/>
    <row r="741" ht="24" customHeight="1"/>
    <row r="742" ht="24" customHeight="1"/>
    <row r="743" ht="24" customHeight="1"/>
    <row r="744" ht="24" customHeight="1"/>
    <row r="745" ht="24" customHeight="1"/>
    <row r="746" ht="24" customHeight="1"/>
    <row r="747" ht="24" customHeight="1"/>
    <row r="748" ht="24" customHeight="1"/>
    <row r="749" ht="24" customHeight="1"/>
    <row r="750" ht="24" customHeight="1"/>
    <row r="751" ht="24" customHeight="1"/>
    <row r="752" ht="24" customHeight="1"/>
    <row r="753" ht="24" customHeight="1"/>
    <row r="754" ht="24" customHeight="1"/>
    <row r="755" ht="24" customHeight="1"/>
    <row r="756" ht="24" customHeight="1"/>
    <row r="757" ht="24" customHeight="1"/>
    <row r="758" ht="24" customHeight="1"/>
    <row r="759" ht="24" customHeight="1"/>
    <row r="760" ht="24" customHeight="1"/>
    <row r="761" ht="24" customHeight="1"/>
    <row r="762" ht="24" customHeight="1"/>
    <row r="763" ht="24" customHeight="1"/>
    <row r="764" ht="24" customHeight="1"/>
    <row r="765" ht="24" customHeight="1"/>
    <row r="766" ht="24" customHeight="1"/>
    <row r="767" ht="24" customHeight="1"/>
    <row r="768" ht="24" customHeight="1"/>
    <row r="769" ht="24" customHeight="1"/>
    <row r="770" ht="24" customHeight="1"/>
    <row r="771" ht="24" customHeight="1"/>
    <row r="772" ht="24" customHeight="1"/>
    <row r="773" ht="24" customHeight="1"/>
    <row r="774" ht="24" customHeight="1"/>
    <row r="775" ht="24" customHeight="1"/>
    <row r="776" ht="24" customHeight="1"/>
    <row r="777" ht="24" customHeight="1"/>
    <row r="778" ht="24" customHeight="1"/>
    <row r="779" ht="24" customHeight="1"/>
    <row r="780" ht="24" customHeight="1"/>
    <row r="781" ht="24" customHeight="1"/>
    <row r="782" ht="24" customHeight="1"/>
    <row r="783" ht="24" customHeight="1"/>
    <row r="784" ht="24" customHeight="1"/>
    <row r="785" ht="24" customHeight="1"/>
    <row r="786" ht="24" customHeight="1"/>
    <row r="787" ht="24" customHeight="1"/>
    <row r="788" ht="24" customHeight="1"/>
    <row r="789" ht="24" customHeight="1"/>
    <row r="790" ht="24" customHeight="1"/>
    <row r="791" ht="24" customHeight="1"/>
    <row r="792" ht="24" customHeight="1"/>
    <row r="793" ht="24" customHeight="1"/>
    <row r="794" ht="24" customHeight="1"/>
    <row r="795" ht="24" customHeight="1"/>
    <row r="796" ht="24" customHeight="1"/>
    <row r="797" ht="24" customHeight="1"/>
    <row r="798" ht="24" customHeight="1"/>
    <row r="799" ht="24" customHeight="1"/>
    <row r="800" ht="24" customHeight="1"/>
    <row r="801" ht="24" customHeight="1"/>
    <row r="802" ht="24" customHeight="1"/>
    <row r="803" ht="24" customHeight="1"/>
    <row r="804" ht="24" customHeight="1"/>
    <row r="805" ht="24" customHeight="1"/>
    <row r="806" ht="24" customHeight="1"/>
    <row r="807" ht="24" customHeight="1"/>
    <row r="808" ht="24" customHeight="1"/>
    <row r="809" ht="24" customHeight="1"/>
    <row r="810" ht="24" customHeight="1"/>
    <row r="811" ht="24" customHeight="1"/>
    <row r="812" ht="24" customHeight="1"/>
    <row r="813" ht="24" customHeight="1"/>
    <row r="814" ht="24" customHeight="1"/>
    <row r="815" ht="24" customHeight="1"/>
    <row r="816" ht="24" customHeight="1"/>
    <row r="817" ht="24" customHeight="1"/>
    <row r="818" ht="24" customHeight="1"/>
    <row r="819" ht="24" customHeight="1"/>
    <row r="820" ht="24" customHeight="1"/>
    <row r="821" ht="24" customHeight="1"/>
    <row r="822" ht="24" customHeight="1"/>
    <row r="823" ht="24" customHeight="1"/>
    <row r="824" ht="24" customHeight="1"/>
    <row r="825" ht="24" customHeight="1"/>
    <row r="826" ht="24" customHeight="1"/>
    <row r="827" ht="24" customHeight="1"/>
    <row r="828" ht="24" customHeight="1"/>
    <row r="829" ht="24" customHeight="1"/>
    <row r="830" ht="24" customHeight="1"/>
    <row r="831" ht="24" customHeight="1"/>
    <row r="832" ht="24" customHeight="1"/>
    <row r="833" ht="24" customHeight="1"/>
    <row r="834" ht="24" customHeight="1"/>
    <row r="835" ht="24" customHeight="1"/>
    <row r="836" ht="24" customHeight="1"/>
    <row r="837" ht="24" customHeight="1"/>
    <row r="838" ht="24" customHeight="1"/>
    <row r="839" ht="24" customHeight="1"/>
    <row r="840" ht="24" customHeight="1"/>
    <row r="841" ht="24" customHeight="1"/>
    <row r="842" ht="24" customHeight="1"/>
    <row r="843" ht="24" customHeight="1"/>
    <row r="844" ht="24" customHeight="1"/>
    <row r="845" ht="24" customHeight="1"/>
    <row r="846" ht="24" customHeight="1"/>
    <row r="847" ht="24" customHeight="1"/>
    <row r="848" ht="24" customHeight="1"/>
    <row r="849" ht="24" customHeight="1"/>
    <row r="850" ht="24" customHeight="1"/>
    <row r="851" ht="24" customHeight="1"/>
    <row r="852" ht="24" customHeight="1"/>
    <row r="853" ht="24" customHeight="1"/>
    <row r="854" ht="24" customHeight="1"/>
    <row r="855" ht="24" customHeight="1"/>
    <row r="856" ht="24" customHeight="1"/>
    <row r="857" ht="24" customHeight="1"/>
    <row r="858" ht="24" customHeight="1"/>
    <row r="859" ht="24" customHeight="1"/>
    <row r="860" ht="24" customHeight="1"/>
    <row r="861" ht="24" customHeight="1"/>
    <row r="862" ht="24" customHeight="1"/>
    <row r="863" ht="24" customHeight="1"/>
    <row r="864" ht="24" customHeight="1"/>
    <row r="865" ht="24" customHeight="1"/>
    <row r="866" ht="24" customHeight="1"/>
    <row r="867" ht="24" customHeight="1"/>
    <row r="868" ht="24" customHeight="1"/>
    <row r="869" ht="24" customHeight="1"/>
    <row r="870" ht="24" customHeight="1"/>
    <row r="871" ht="24" customHeight="1"/>
    <row r="872" ht="24" customHeight="1"/>
    <row r="873" ht="24" customHeight="1"/>
    <row r="874" ht="24" customHeight="1"/>
    <row r="875" ht="24" customHeight="1"/>
    <row r="876" ht="24" customHeight="1"/>
    <row r="877" ht="24" customHeight="1"/>
    <row r="878" ht="24" customHeight="1"/>
    <row r="879" ht="24" customHeight="1"/>
    <row r="880" ht="24" customHeight="1"/>
    <row r="881" ht="24" customHeight="1"/>
    <row r="882" ht="24" customHeight="1"/>
    <row r="883" ht="24" customHeight="1"/>
    <row r="884" ht="24" customHeight="1"/>
    <row r="885" ht="24" customHeight="1"/>
    <row r="886" ht="24" customHeight="1"/>
    <row r="887" ht="24" customHeight="1"/>
    <row r="888" ht="24" customHeight="1"/>
    <row r="889" ht="24" customHeight="1"/>
    <row r="890" ht="24" customHeight="1"/>
    <row r="891" ht="24" customHeight="1"/>
    <row r="892" ht="24" customHeight="1"/>
    <row r="893" ht="24" customHeight="1"/>
    <row r="894" ht="24" customHeight="1"/>
    <row r="895" ht="24" customHeight="1"/>
    <row r="896" ht="24" customHeight="1"/>
    <row r="897" ht="24" customHeight="1"/>
    <row r="898" ht="24" customHeight="1"/>
    <row r="899" ht="24" customHeight="1"/>
    <row r="900" ht="24" customHeight="1"/>
    <row r="901" ht="24" customHeight="1"/>
    <row r="902" ht="24" customHeight="1"/>
    <row r="903" ht="24" customHeight="1"/>
    <row r="904" ht="24" customHeight="1"/>
    <row r="905" ht="24" customHeight="1"/>
    <row r="906" ht="24" customHeight="1"/>
    <row r="907" ht="24" customHeight="1"/>
    <row r="908" ht="24" customHeight="1"/>
    <row r="909" ht="24" customHeight="1"/>
    <row r="910" ht="24" customHeight="1"/>
    <row r="911" ht="24" customHeight="1"/>
    <row r="912" ht="24" customHeight="1"/>
    <row r="913" ht="24" customHeight="1"/>
    <row r="914" ht="24" customHeight="1"/>
    <row r="915" ht="24" customHeight="1"/>
    <row r="916" ht="24" customHeight="1"/>
    <row r="917" ht="24" customHeight="1"/>
    <row r="918" ht="24" customHeight="1"/>
    <row r="919" ht="24" customHeight="1"/>
    <row r="920" ht="24" customHeight="1"/>
    <row r="921" ht="24" customHeight="1"/>
    <row r="922" ht="24" customHeight="1"/>
    <row r="923" ht="24" customHeight="1"/>
    <row r="924" ht="24" customHeight="1"/>
    <row r="925" ht="24" customHeight="1"/>
    <row r="926" ht="24" customHeight="1"/>
    <row r="927" ht="24" customHeight="1"/>
    <row r="928" ht="24" customHeight="1"/>
    <row r="929" ht="24" customHeight="1"/>
    <row r="930" ht="24" customHeight="1"/>
    <row r="931" ht="24" customHeight="1"/>
    <row r="932" ht="24" customHeight="1"/>
    <row r="933" ht="24" customHeight="1"/>
    <row r="934" ht="24" customHeight="1"/>
    <row r="935" ht="24" customHeight="1"/>
    <row r="936" ht="24" customHeight="1"/>
    <row r="937" ht="24" customHeight="1"/>
    <row r="938" ht="24" customHeight="1"/>
    <row r="939" ht="24" customHeight="1"/>
    <row r="940" ht="24" customHeight="1"/>
    <row r="941" ht="24" customHeight="1"/>
    <row r="942" ht="24" customHeight="1"/>
    <row r="943" ht="24" customHeight="1"/>
    <row r="944" ht="24" customHeight="1"/>
    <row r="945" ht="24" customHeight="1"/>
    <row r="946" ht="24" customHeight="1"/>
    <row r="947" ht="24" customHeight="1"/>
    <row r="948" ht="24" customHeight="1"/>
    <row r="949" ht="24" customHeight="1"/>
    <row r="950" ht="24" customHeight="1"/>
    <row r="951" ht="24" customHeight="1"/>
    <row r="952" ht="24" customHeight="1"/>
    <row r="953" ht="24" customHeight="1"/>
    <row r="954" ht="24" customHeight="1"/>
    <row r="955" ht="24" customHeight="1"/>
    <row r="956" ht="24" customHeight="1"/>
    <row r="957" ht="24" customHeight="1"/>
    <row r="958" ht="24" customHeight="1"/>
    <row r="959" ht="24" customHeight="1"/>
    <row r="960" ht="24" customHeight="1"/>
    <row r="961" ht="24" customHeight="1"/>
    <row r="962" ht="24" customHeight="1"/>
    <row r="963" ht="24" customHeight="1"/>
    <row r="964" ht="24" customHeight="1"/>
    <row r="965" ht="24" customHeight="1"/>
    <row r="966" ht="24" customHeight="1"/>
    <row r="967" ht="24" customHeight="1"/>
    <row r="968" ht="24" customHeight="1"/>
    <row r="969" ht="24" customHeight="1"/>
    <row r="970" ht="24" customHeight="1"/>
    <row r="971" ht="24" customHeight="1"/>
    <row r="972" ht="24" customHeight="1"/>
    <row r="973" ht="24" customHeight="1"/>
    <row r="974" ht="24" customHeight="1"/>
    <row r="975" ht="24" customHeight="1"/>
    <row r="976" ht="24" customHeight="1"/>
    <row r="977" ht="24" customHeight="1"/>
    <row r="978" ht="24" customHeight="1"/>
    <row r="979" ht="24" customHeight="1"/>
    <row r="980" ht="24" customHeight="1"/>
    <row r="981" ht="24" customHeight="1"/>
    <row r="982" ht="24" customHeight="1"/>
    <row r="983" ht="24" customHeight="1"/>
    <row r="984" ht="24" customHeight="1"/>
    <row r="985" ht="24" customHeight="1"/>
    <row r="986" ht="24" customHeight="1"/>
    <row r="987" ht="24" customHeight="1"/>
    <row r="988" ht="24" customHeight="1"/>
    <row r="989" ht="24" customHeight="1"/>
    <row r="990" ht="24" customHeight="1"/>
    <row r="991" ht="24" customHeight="1"/>
    <row r="992" ht="24" customHeight="1"/>
    <row r="993" ht="24" customHeight="1"/>
    <row r="994" ht="24" customHeight="1"/>
    <row r="995" ht="24" customHeight="1"/>
    <row r="996" ht="24" customHeight="1"/>
    <row r="997" ht="24" customHeight="1"/>
    <row r="998" ht="24" customHeight="1"/>
    <row r="999" ht="24" customHeight="1"/>
    <row r="1000" ht="24" customHeight="1"/>
    <row r="1001" ht="24" customHeight="1"/>
    <row r="1002" ht="24" customHeight="1"/>
    <row r="1003" ht="24" customHeight="1"/>
    <row r="1004" ht="24" customHeight="1"/>
    <row r="1005" ht="24" customHeight="1"/>
    <row r="1006" ht="24" customHeight="1"/>
    <row r="1007" ht="24" customHeight="1"/>
    <row r="1008" ht="24" customHeight="1"/>
    <row r="1009" ht="24" customHeight="1"/>
    <row r="1010" ht="24" customHeight="1"/>
    <row r="1011" ht="24" customHeight="1"/>
    <row r="1012" ht="24" customHeight="1"/>
    <row r="1013" ht="24" customHeight="1"/>
    <row r="1014" ht="24" customHeight="1"/>
    <row r="1015" ht="24" customHeight="1"/>
    <row r="1016" ht="24" customHeight="1"/>
    <row r="1017" ht="24" customHeight="1"/>
    <row r="1018" ht="24" customHeight="1"/>
    <row r="1019" ht="24" customHeight="1"/>
    <row r="1020" ht="24" customHeight="1"/>
    <row r="1021" ht="24" customHeight="1"/>
    <row r="1022" ht="24" customHeight="1"/>
    <row r="1023" ht="24" customHeight="1"/>
    <row r="1024" ht="24" customHeight="1"/>
    <row r="1025" ht="24" customHeight="1"/>
    <row r="1026" ht="24" customHeight="1"/>
    <row r="1027" ht="24" customHeight="1"/>
    <row r="1028" ht="24" customHeight="1"/>
    <row r="1029" ht="24" customHeight="1"/>
    <row r="1030" ht="24" customHeight="1"/>
    <row r="1031" ht="24" customHeight="1"/>
    <row r="1032" ht="24" customHeight="1"/>
    <row r="1033" ht="24" customHeight="1"/>
    <row r="1034" ht="24" customHeight="1"/>
    <row r="1035" ht="24" customHeight="1"/>
    <row r="1036" ht="24" customHeight="1"/>
    <row r="1037" ht="24" customHeight="1"/>
    <row r="1038" ht="24" customHeight="1"/>
    <row r="1039" ht="24" customHeight="1"/>
    <row r="1040" ht="24" customHeight="1"/>
    <row r="1041" ht="24" customHeight="1"/>
    <row r="1042" ht="24" customHeight="1"/>
    <row r="1043" ht="24" customHeight="1"/>
    <row r="1044" ht="24" customHeight="1"/>
    <row r="1045" ht="24" customHeight="1"/>
    <row r="1046" ht="24" customHeight="1"/>
    <row r="1047" ht="24" customHeight="1"/>
    <row r="1048" ht="24" customHeight="1"/>
    <row r="1049" ht="24" customHeight="1"/>
    <row r="1050" ht="24" customHeight="1"/>
    <row r="1051" ht="24" customHeight="1"/>
    <row r="1052" ht="24" customHeight="1"/>
    <row r="1053" ht="24" customHeight="1"/>
    <row r="1054" ht="24" customHeight="1"/>
    <row r="1055" ht="24" customHeight="1"/>
    <row r="1056" ht="24" customHeight="1"/>
    <row r="1057" ht="24" customHeight="1"/>
    <row r="1058" ht="24" customHeight="1"/>
    <row r="1059" ht="24" customHeight="1"/>
    <row r="1060" ht="24" customHeight="1"/>
    <row r="1061" ht="24" customHeight="1"/>
    <row r="1062" ht="24" customHeight="1"/>
    <row r="1063" ht="24" customHeight="1"/>
    <row r="1064" ht="24" customHeight="1"/>
    <row r="1065" ht="24" customHeight="1"/>
    <row r="1066" ht="24" customHeight="1"/>
    <row r="1067" ht="24" customHeight="1"/>
    <row r="1068" ht="24" customHeight="1"/>
    <row r="1069" ht="24" customHeight="1"/>
    <row r="1070" ht="24" customHeight="1"/>
    <row r="1071" ht="24" customHeight="1"/>
    <row r="1072" ht="24" customHeight="1"/>
    <row r="1073" ht="24" customHeight="1"/>
    <row r="1074" ht="24" customHeight="1"/>
    <row r="1075" ht="24" customHeight="1"/>
    <row r="1076" ht="24" customHeight="1"/>
    <row r="1077" ht="24" customHeight="1"/>
    <row r="1078" ht="24" customHeight="1"/>
    <row r="1079" ht="24" customHeight="1"/>
    <row r="1080" ht="24" customHeight="1"/>
    <row r="1081" ht="24" customHeight="1"/>
    <row r="1082" ht="24" customHeight="1"/>
    <row r="1083" ht="24" customHeight="1"/>
    <row r="1084" ht="24" customHeight="1"/>
    <row r="1085" ht="24" customHeight="1"/>
    <row r="1086" ht="24" customHeight="1"/>
    <row r="1087" ht="24" customHeight="1"/>
    <row r="1088" ht="24" customHeight="1"/>
    <row r="1089" ht="24" customHeight="1"/>
    <row r="1090" ht="24" customHeight="1"/>
    <row r="1091" ht="24" customHeight="1"/>
    <row r="1092" ht="24" customHeight="1"/>
    <row r="1093" ht="24" customHeight="1"/>
    <row r="1094" ht="24" customHeight="1"/>
    <row r="1095" ht="24" customHeight="1"/>
    <row r="1096" ht="24" customHeight="1"/>
    <row r="1097" ht="24" customHeight="1"/>
    <row r="1098" ht="24" customHeight="1"/>
    <row r="1099" ht="24" customHeight="1"/>
    <row r="1100" ht="24" customHeight="1"/>
    <row r="1101" ht="24" customHeight="1"/>
    <row r="1102" ht="24" customHeight="1"/>
    <row r="1103" ht="24" customHeight="1"/>
    <row r="1104" ht="24" customHeight="1"/>
    <row r="1105" ht="24" customHeight="1"/>
    <row r="1106" ht="24" customHeight="1"/>
    <row r="1107" ht="24" customHeight="1"/>
    <row r="1108" ht="24" customHeight="1"/>
    <row r="1109" ht="24" customHeight="1"/>
    <row r="1110" ht="24" customHeight="1"/>
    <row r="1111" ht="24" customHeight="1"/>
    <row r="1112" ht="24" customHeight="1"/>
    <row r="1113" ht="24" customHeight="1"/>
    <row r="1114" ht="24" customHeight="1"/>
    <row r="1115" ht="24" customHeight="1"/>
    <row r="1116" ht="24" customHeight="1"/>
    <row r="1117" ht="24" customHeight="1"/>
    <row r="1118" ht="24" customHeight="1"/>
    <row r="1119" ht="24" customHeight="1"/>
    <row r="1120" ht="24" customHeight="1"/>
    <row r="1121" ht="24" customHeight="1"/>
    <row r="1122" ht="24" customHeight="1"/>
    <row r="1123" ht="24" customHeight="1"/>
    <row r="1124" ht="24" customHeight="1"/>
    <row r="1125" ht="24" customHeight="1"/>
    <row r="1126" ht="24" customHeight="1"/>
    <row r="1127" ht="24" customHeight="1"/>
    <row r="1128" ht="24" customHeight="1"/>
    <row r="1129" ht="24" customHeight="1"/>
    <row r="1130" ht="24" customHeight="1"/>
    <row r="1131" ht="24" customHeight="1"/>
    <row r="1132" ht="24" customHeight="1"/>
    <row r="1133" ht="24" customHeight="1"/>
    <row r="1134" ht="24" customHeight="1"/>
    <row r="1135" ht="24" customHeight="1"/>
    <row r="1136" ht="24" customHeight="1"/>
    <row r="1137" ht="24" customHeight="1"/>
  </sheetData>
  <mergeCells count="1">
    <mergeCell ref="A2:G2"/>
  </mergeCells>
  <phoneticPr fontId="24"/>
  <pageMargins left="0.78740157480314965" right="0.39370078740157483" top="0.78740157480314965" bottom="0.39370078740157483" header="0.51181102362204722" footer="0.51181102362204722"/>
  <pageSetup paperSize="9" scale="96" orientation="portrait" horizontalDpi="400" verticalDpi="4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syncVertical="1" syncRef="A1" transitionEvaluation="1" transitionEntry="1" codeName="Sheet2"/>
  <dimension ref="A1:T43"/>
  <sheetViews>
    <sheetView showGridLines="0" view="pageBreakPreview" zoomScale="130" zoomScaleNormal="75" zoomScaleSheetLayoutView="130" workbookViewId="0">
      <selection activeCell="G26" sqref="G26"/>
    </sheetView>
  </sheetViews>
  <sheetFormatPr defaultColWidth="10.7109375" defaultRowHeight="12"/>
  <cols>
    <col min="1" max="2" width="4.7109375" style="4" customWidth="1"/>
    <col min="3" max="3" width="5.7109375" style="4" customWidth="1"/>
    <col min="4" max="4" width="2.5703125" style="4" customWidth="1"/>
    <col min="5" max="5" width="9.5703125" style="4" bestFit="1" customWidth="1"/>
    <col min="6" max="6" width="10.140625" style="4" bestFit="1" customWidth="1"/>
    <col min="7" max="7" width="10.7109375" style="81" customWidth="1"/>
    <col min="8" max="8" width="8.7109375" style="4" customWidth="1"/>
    <col min="9" max="9" width="9.7109375" style="4" customWidth="1"/>
    <col min="10" max="10" width="9.7109375" style="81" customWidth="1"/>
    <col min="11" max="11" width="8.7109375" style="82" customWidth="1"/>
    <col min="12" max="13" width="9.7109375" style="4" customWidth="1"/>
    <col min="14" max="14" width="8.7109375" style="82" customWidth="1"/>
    <col min="15" max="15" width="9.7109375" style="4" customWidth="1"/>
    <col min="16" max="16" width="9.5703125" style="4" customWidth="1"/>
    <col min="17" max="17" width="8.7109375" style="82" customWidth="1"/>
    <col min="18" max="19" width="9.7109375" style="4" customWidth="1"/>
    <col min="20" max="20" width="8.7109375" style="82" customWidth="1"/>
    <col min="21" max="22" width="9.7109375" style="4" customWidth="1"/>
    <col min="23" max="23" width="11" style="4" customWidth="1"/>
    <col min="24" max="24" width="10.7109375" style="4" customWidth="1"/>
    <col min="25" max="16384" width="10.7109375" style="4"/>
  </cols>
  <sheetData>
    <row r="1" spans="1:20" ht="16.5" customHeight="1">
      <c r="A1" s="55"/>
      <c r="B1" s="56" t="s">
        <v>45</v>
      </c>
      <c r="C1" s="54"/>
      <c r="D1" s="54"/>
      <c r="E1" s="54"/>
      <c r="F1" s="57"/>
      <c r="G1" s="58"/>
      <c r="H1" s="54"/>
      <c r="I1" s="54"/>
      <c r="J1" s="58"/>
      <c r="K1" s="54"/>
      <c r="L1" s="3"/>
      <c r="M1" s="59"/>
      <c r="N1" s="54"/>
      <c r="O1" s="54"/>
      <c r="P1" s="59"/>
      <c r="Q1" s="54"/>
      <c r="R1" s="54"/>
      <c r="T1" s="4"/>
    </row>
    <row r="2" spans="1:20" ht="12.95" customHeight="1">
      <c r="A2" s="55"/>
      <c r="B2" s="60"/>
      <c r="C2" s="54"/>
      <c r="D2" s="54"/>
      <c r="E2" s="54"/>
      <c r="F2" s="57"/>
      <c r="G2" s="58"/>
      <c r="H2" s="54"/>
      <c r="I2" s="54"/>
      <c r="J2" s="58"/>
      <c r="K2" s="54"/>
      <c r="L2" s="3"/>
      <c r="M2" s="59"/>
      <c r="N2" s="54"/>
      <c r="O2" s="54"/>
      <c r="P2" s="59"/>
      <c r="Q2" s="61"/>
      <c r="R2" s="62"/>
      <c r="T2" s="4"/>
    </row>
    <row r="3" spans="1:20">
      <c r="B3" s="5" t="s">
        <v>46</v>
      </c>
      <c r="C3" s="6"/>
      <c r="D3" s="6"/>
      <c r="E3" s="6"/>
      <c r="F3" s="7" t="s">
        <v>47</v>
      </c>
      <c r="G3" s="251" t="str">
        <f>IF(入力!G2="","",入力!G2)</f>
        <v>オープン掘削</v>
      </c>
      <c r="H3" s="247"/>
      <c r="I3" s="248"/>
      <c r="J3" s="246" t="str">
        <f>IF(入力!H2="","",入力!H2)</f>
        <v/>
      </c>
      <c r="K3" s="247"/>
      <c r="L3" s="248"/>
      <c r="M3" s="251" t="str">
        <f>IF(入力!I2="","",入力!I2)</f>
        <v/>
      </c>
      <c r="N3" s="247"/>
      <c r="O3" s="248"/>
      <c r="P3" s="249" t="str">
        <f>IF(入力!J2="","",入力!J2)</f>
        <v/>
      </c>
      <c r="Q3" s="247"/>
      <c r="R3" s="250"/>
      <c r="S3" s="8"/>
      <c r="T3" s="4"/>
    </row>
    <row r="4" spans="1:20">
      <c r="B4" s="8"/>
      <c r="E4" s="9"/>
      <c r="F4" s="10"/>
      <c r="G4" s="41" t="s">
        <v>48</v>
      </c>
      <c r="H4" s="63" t="s">
        <v>49</v>
      </c>
      <c r="I4" s="12" t="s">
        <v>50</v>
      </c>
      <c r="J4" s="41" t="s">
        <v>48</v>
      </c>
      <c r="K4" s="63" t="s">
        <v>49</v>
      </c>
      <c r="L4" s="12" t="s">
        <v>50</v>
      </c>
      <c r="M4" s="11" t="s">
        <v>48</v>
      </c>
      <c r="N4" s="63" t="s">
        <v>49</v>
      </c>
      <c r="O4" s="12" t="s">
        <v>50</v>
      </c>
      <c r="P4" s="13" t="s">
        <v>48</v>
      </c>
      <c r="Q4" s="64" t="s">
        <v>49</v>
      </c>
      <c r="R4" s="14" t="s">
        <v>50</v>
      </c>
      <c r="S4" s="8"/>
      <c r="T4" s="4"/>
    </row>
    <row r="5" spans="1:20" ht="12.6" customHeight="1" thickBot="1">
      <c r="B5" s="15" t="s">
        <v>51</v>
      </c>
      <c r="C5" s="16"/>
      <c r="D5" s="16"/>
      <c r="E5" s="65">
        <f>入力!E4</f>
        <v>20</v>
      </c>
      <c r="F5" s="17" t="s">
        <v>52</v>
      </c>
      <c r="G5" s="42" t="s">
        <v>53</v>
      </c>
      <c r="H5" s="38" t="s">
        <v>53</v>
      </c>
      <c r="I5" s="38" t="s">
        <v>54</v>
      </c>
      <c r="J5" s="42" t="s">
        <v>53</v>
      </c>
      <c r="K5" s="38" t="s">
        <v>53</v>
      </c>
      <c r="L5" s="38" t="s">
        <v>54</v>
      </c>
      <c r="M5" s="18" t="s">
        <v>53</v>
      </c>
      <c r="N5" s="38" t="s">
        <v>53</v>
      </c>
      <c r="O5" s="38" t="s">
        <v>54</v>
      </c>
      <c r="P5" s="19" t="s">
        <v>53</v>
      </c>
      <c r="Q5" s="38" t="s">
        <v>53</v>
      </c>
      <c r="R5" s="39" t="s">
        <v>54</v>
      </c>
      <c r="S5" s="8"/>
      <c r="T5" s="4"/>
    </row>
    <row r="6" spans="1:20" ht="12.6" customHeight="1" thickTop="1">
      <c r="A6" s="4">
        <v>1</v>
      </c>
      <c r="B6" s="51" t="s">
        <v>55</v>
      </c>
      <c r="C6" s="66">
        <f>入力!C5</f>
        <v>0</v>
      </c>
      <c r="D6" s="52" t="s">
        <v>56</v>
      </c>
      <c r="E6" s="67">
        <f>入力!E5</f>
        <v>0</v>
      </c>
      <c r="F6" s="20"/>
      <c r="G6" s="68">
        <f>入力!G5</f>
        <v>0</v>
      </c>
      <c r="H6" s="21"/>
      <c r="I6" s="22"/>
      <c r="J6" s="43"/>
      <c r="K6" s="21"/>
      <c r="L6" s="22"/>
      <c r="M6" s="43"/>
      <c r="N6" s="21"/>
      <c r="O6" s="22"/>
      <c r="P6" s="43"/>
      <c r="Q6" s="21"/>
      <c r="R6" s="23"/>
      <c r="S6" s="8"/>
      <c r="T6" s="4"/>
    </row>
    <row r="7" spans="1:20">
      <c r="A7" s="4">
        <v>2</v>
      </c>
      <c r="B7" s="32" t="s">
        <v>55</v>
      </c>
      <c r="C7" s="69">
        <f>入力!C6</f>
        <v>0</v>
      </c>
      <c r="D7" s="37" t="s">
        <v>56</v>
      </c>
      <c r="E7" s="70">
        <f>入力!E6</f>
        <v>0</v>
      </c>
      <c r="F7" s="24">
        <f t="shared" ref="F7:F30" si="0">IF(ISBLANK(C7),"",(C7-C6)*$E$5+(E7-E6))</f>
        <v>0</v>
      </c>
      <c r="G7" s="71">
        <f>入力!G6</f>
        <v>0</v>
      </c>
      <c r="H7" s="25">
        <f t="shared" ref="H7:H30" si="1">IF(ISBLANK($C7),"",(G6+G7)/2)</f>
        <v>0</v>
      </c>
      <c r="I7" s="26">
        <f t="shared" ref="I7:I30" si="2">ROUND(IF(ISBLANK($C7),"",$F7*H7),1)</f>
        <v>0</v>
      </c>
      <c r="J7" s="43"/>
      <c r="K7" s="25"/>
      <c r="L7" s="26"/>
      <c r="M7" s="43"/>
      <c r="N7" s="25"/>
      <c r="O7" s="26"/>
      <c r="P7" s="43"/>
      <c r="Q7" s="25"/>
      <c r="R7" s="23"/>
      <c r="S7" s="8"/>
      <c r="T7" s="4"/>
    </row>
    <row r="8" spans="1:20" s="27" customFormat="1">
      <c r="A8" s="4">
        <v>3</v>
      </c>
      <c r="B8" s="32" t="s">
        <v>55</v>
      </c>
      <c r="C8" s="69">
        <f>入力!C7</f>
        <v>0</v>
      </c>
      <c r="D8" s="37" t="s">
        <v>56</v>
      </c>
      <c r="E8" s="70">
        <f>入力!E7</f>
        <v>0</v>
      </c>
      <c r="F8" s="24">
        <f t="shared" si="0"/>
        <v>0</v>
      </c>
      <c r="G8" s="71">
        <f>入力!G7</f>
        <v>0</v>
      </c>
      <c r="H8" s="25">
        <f t="shared" si="1"/>
        <v>0</v>
      </c>
      <c r="I8" s="26">
        <f t="shared" si="2"/>
        <v>0</v>
      </c>
      <c r="J8" s="43"/>
      <c r="K8" s="25"/>
      <c r="L8" s="26"/>
      <c r="M8" s="43"/>
      <c r="N8" s="25"/>
      <c r="O8" s="26"/>
      <c r="P8" s="43"/>
      <c r="Q8" s="25"/>
      <c r="R8" s="23"/>
      <c r="S8" s="72"/>
    </row>
    <row r="9" spans="1:20" s="27" customFormat="1">
      <c r="A9" s="4">
        <v>4</v>
      </c>
      <c r="B9" s="32" t="s">
        <v>55</v>
      </c>
      <c r="C9" s="69">
        <f>入力!C8</f>
        <v>0</v>
      </c>
      <c r="D9" s="37" t="s">
        <v>56</v>
      </c>
      <c r="E9" s="70">
        <f>入力!E8</f>
        <v>0</v>
      </c>
      <c r="F9" s="24">
        <f t="shared" si="0"/>
        <v>0</v>
      </c>
      <c r="G9" s="71">
        <f>入力!G8</f>
        <v>0</v>
      </c>
      <c r="H9" s="25">
        <f t="shared" si="1"/>
        <v>0</v>
      </c>
      <c r="I9" s="26">
        <f t="shared" si="2"/>
        <v>0</v>
      </c>
      <c r="J9" s="43"/>
      <c r="K9" s="25"/>
      <c r="L9" s="26"/>
      <c r="M9" s="43"/>
      <c r="N9" s="25"/>
      <c r="O9" s="26"/>
      <c r="P9" s="43"/>
      <c r="Q9" s="25"/>
      <c r="R9" s="23"/>
      <c r="S9" s="72"/>
    </row>
    <row r="10" spans="1:20">
      <c r="A10" s="4">
        <v>5</v>
      </c>
      <c r="B10" s="32" t="s">
        <v>55</v>
      </c>
      <c r="C10" s="69">
        <f>入力!C9</f>
        <v>0</v>
      </c>
      <c r="D10" s="37" t="s">
        <v>56</v>
      </c>
      <c r="E10" s="70">
        <f>入力!E9</f>
        <v>0</v>
      </c>
      <c r="F10" s="24">
        <f t="shared" si="0"/>
        <v>0</v>
      </c>
      <c r="G10" s="71">
        <f>入力!G9</f>
        <v>0</v>
      </c>
      <c r="H10" s="25">
        <f t="shared" si="1"/>
        <v>0</v>
      </c>
      <c r="I10" s="26">
        <f t="shared" si="2"/>
        <v>0</v>
      </c>
      <c r="J10" s="43"/>
      <c r="K10" s="25"/>
      <c r="L10" s="26"/>
      <c r="M10" s="43"/>
      <c r="N10" s="25"/>
      <c r="O10" s="26"/>
      <c r="P10" s="43"/>
      <c r="Q10" s="25"/>
      <c r="R10" s="23"/>
      <c r="S10" s="8"/>
      <c r="T10" s="4"/>
    </row>
    <row r="11" spans="1:20">
      <c r="A11" s="4">
        <v>6</v>
      </c>
      <c r="B11" s="32" t="s">
        <v>55</v>
      </c>
      <c r="C11" s="69">
        <f>入力!C10</f>
        <v>0</v>
      </c>
      <c r="D11" s="37" t="s">
        <v>56</v>
      </c>
      <c r="E11" s="70">
        <f>入力!E10</f>
        <v>0</v>
      </c>
      <c r="F11" s="24">
        <f t="shared" si="0"/>
        <v>0</v>
      </c>
      <c r="G11" s="71">
        <f>入力!G10</f>
        <v>0</v>
      </c>
      <c r="H11" s="25">
        <f t="shared" si="1"/>
        <v>0</v>
      </c>
      <c r="I11" s="26">
        <f t="shared" si="2"/>
        <v>0</v>
      </c>
      <c r="J11" s="43"/>
      <c r="K11" s="25"/>
      <c r="L11" s="26"/>
      <c r="M11" s="43"/>
      <c r="N11" s="25"/>
      <c r="O11" s="26"/>
      <c r="P11" s="43"/>
      <c r="Q11" s="25"/>
      <c r="R11" s="23"/>
      <c r="S11" s="8"/>
      <c r="T11" s="4"/>
    </row>
    <row r="12" spans="1:20" s="27" customFormat="1">
      <c r="A12" s="4">
        <v>7</v>
      </c>
      <c r="B12" s="32" t="s">
        <v>55</v>
      </c>
      <c r="C12" s="69">
        <f>入力!C11</f>
        <v>0</v>
      </c>
      <c r="D12" s="37" t="s">
        <v>56</v>
      </c>
      <c r="E12" s="70">
        <f>入力!E11</f>
        <v>0</v>
      </c>
      <c r="F12" s="24">
        <f t="shared" si="0"/>
        <v>0</v>
      </c>
      <c r="G12" s="71">
        <f>入力!G11</f>
        <v>0</v>
      </c>
      <c r="H12" s="25">
        <f t="shared" si="1"/>
        <v>0</v>
      </c>
      <c r="I12" s="26">
        <f t="shared" si="2"/>
        <v>0</v>
      </c>
      <c r="J12" s="43"/>
      <c r="K12" s="25"/>
      <c r="L12" s="26"/>
      <c r="M12" s="43"/>
      <c r="N12" s="25"/>
      <c r="O12" s="26"/>
      <c r="P12" s="43"/>
      <c r="Q12" s="25"/>
      <c r="R12" s="23"/>
      <c r="S12" s="72"/>
    </row>
    <row r="13" spans="1:20" s="27" customFormat="1">
      <c r="A13" s="4">
        <v>8</v>
      </c>
      <c r="B13" s="32" t="s">
        <v>55</v>
      </c>
      <c r="C13" s="69">
        <f>入力!C12</f>
        <v>0</v>
      </c>
      <c r="D13" s="37" t="s">
        <v>56</v>
      </c>
      <c r="E13" s="70">
        <f>入力!E12</f>
        <v>0</v>
      </c>
      <c r="F13" s="24">
        <f t="shared" si="0"/>
        <v>0</v>
      </c>
      <c r="G13" s="71">
        <f>入力!G12</f>
        <v>0</v>
      </c>
      <c r="H13" s="25">
        <f t="shared" si="1"/>
        <v>0</v>
      </c>
      <c r="I13" s="26">
        <f t="shared" si="2"/>
        <v>0</v>
      </c>
      <c r="J13" s="43"/>
      <c r="K13" s="25"/>
      <c r="L13" s="26"/>
      <c r="M13" s="43"/>
      <c r="N13" s="25"/>
      <c r="O13" s="26"/>
      <c r="P13" s="43"/>
      <c r="Q13" s="25"/>
      <c r="R13" s="23"/>
      <c r="S13" s="72"/>
    </row>
    <row r="14" spans="1:20">
      <c r="A14" s="4">
        <v>9</v>
      </c>
      <c r="B14" s="32" t="s">
        <v>55</v>
      </c>
      <c r="C14" s="69">
        <f>入力!C13</f>
        <v>0</v>
      </c>
      <c r="D14" s="37" t="s">
        <v>56</v>
      </c>
      <c r="E14" s="70">
        <f>入力!E13</f>
        <v>0</v>
      </c>
      <c r="F14" s="24">
        <f t="shared" si="0"/>
        <v>0</v>
      </c>
      <c r="G14" s="71">
        <f>入力!G13</f>
        <v>0</v>
      </c>
      <c r="H14" s="25">
        <f t="shared" si="1"/>
        <v>0</v>
      </c>
      <c r="I14" s="26">
        <f t="shared" si="2"/>
        <v>0</v>
      </c>
      <c r="J14" s="43"/>
      <c r="K14" s="25"/>
      <c r="L14" s="26"/>
      <c r="M14" s="43"/>
      <c r="N14" s="25"/>
      <c r="O14" s="26"/>
      <c r="P14" s="43"/>
      <c r="Q14" s="25"/>
      <c r="R14" s="23"/>
      <c r="S14" s="8"/>
      <c r="T14" s="4"/>
    </row>
    <row r="15" spans="1:20">
      <c r="A15" s="4">
        <v>10</v>
      </c>
      <c r="B15" s="32" t="s">
        <v>55</v>
      </c>
      <c r="C15" s="69">
        <f>入力!C14</f>
        <v>0</v>
      </c>
      <c r="D15" s="37" t="s">
        <v>56</v>
      </c>
      <c r="E15" s="70">
        <f>入力!E14</f>
        <v>0</v>
      </c>
      <c r="F15" s="24">
        <f t="shared" si="0"/>
        <v>0</v>
      </c>
      <c r="G15" s="71">
        <f>入力!G14</f>
        <v>0</v>
      </c>
      <c r="H15" s="25">
        <f t="shared" si="1"/>
        <v>0</v>
      </c>
      <c r="I15" s="26">
        <f t="shared" si="2"/>
        <v>0</v>
      </c>
      <c r="J15" s="43"/>
      <c r="K15" s="25"/>
      <c r="L15" s="26"/>
      <c r="M15" s="43"/>
      <c r="N15" s="25"/>
      <c r="O15" s="26"/>
      <c r="P15" s="43"/>
      <c r="Q15" s="25"/>
      <c r="R15" s="23"/>
      <c r="S15" s="8"/>
      <c r="T15" s="4"/>
    </row>
    <row r="16" spans="1:20">
      <c r="A16" s="4">
        <v>11</v>
      </c>
      <c r="B16" s="32" t="s">
        <v>55</v>
      </c>
      <c r="C16" s="69">
        <f>入力!C15</f>
        <v>0</v>
      </c>
      <c r="D16" s="37" t="s">
        <v>56</v>
      </c>
      <c r="E16" s="70">
        <f>入力!E15</f>
        <v>0</v>
      </c>
      <c r="F16" s="24">
        <f t="shared" si="0"/>
        <v>0</v>
      </c>
      <c r="G16" s="71">
        <f>入力!G15</f>
        <v>0</v>
      </c>
      <c r="H16" s="25">
        <f t="shared" si="1"/>
        <v>0</v>
      </c>
      <c r="I16" s="26">
        <f t="shared" si="2"/>
        <v>0</v>
      </c>
      <c r="J16" s="43"/>
      <c r="K16" s="25"/>
      <c r="L16" s="26"/>
      <c r="M16" s="43"/>
      <c r="N16" s="25"/>
      <c r="O16" s="26"/>
      <c r="P16" s="43"/>
      <c r="Q16" s="25"/>
      <c r="R16" s="23"/>
      <c r="S16" s="8"/>
      <c r="T16" s="4"/>
    </row>
    <row r="17" spans="1:20" s="27" customFormat="1">
      <c r="A17" s="4">
        <v>12</v>
      </c>
      <c r="B17" s="32" t="s">
        <v>55</v>
      </c>
      <c r="C17" s="69">
        <f>入力!C16</f>
        <v>0</v>
      </c>
      <c r="D17" s="37" t="s">
        <v>56</v>
      </c>
      <c r="E17" s="70">
        <f>入力!E16</f>
        <v>0</v>
      </c>
      <c r="F17" s="24">
        <f t="shared" si="0"/>
        <v>0</v>
      </c>
      <c r="G17" s="71">
        <f>入力!G16</f>
        <v>0</v>
      </c>
      <c r="H17" s="25">
        <f t="shared" si="1"/>
        <v>0</v>
      </c>
      <c r="I17" s="26">
        <f t="shared" si="2"/>
        <v>0</v>
      </c>
      <c r="J17" s="43"/>
      <c r="K17" s="25"/>
      <c r="L17" s="26"/>
      <c r="M17" s="43"/>
      <c r="N17" s="25"/>
      <c r="O17" s="26"/>
      <c r="P17" s="43"/>
      <c r="Q17" s="25"/>
      <c r="R17" s="23"/>
      <c r="S17" s="72"/>
    </row>
    <row r="18" spans="1:20">
      <c r="A18" s="4">
        <v>13</v>
      </c>
      <c r="B18" s="32" t="s">
        <v>55</v>
      </c>
      <c r="C18" s="69">
        <f>入力!C17</f>
        <v>0</v>
      </c>
      <c r="D18" s="37" t="s">
        <v>56</v>
      </c>
      <c r="E18" s="70">
        <f>入力!E17</f>
        <v>0</v>
      </c>
      <c r="F18" s="24">
        <f t="shared" si="0"/>
        <v>0</v>
      </c>
      <c r="G18" s="71">
        <f>入力!G17</f>
        <v>0</v>
      </c>
      <c r="H18" s="25">
        <f t="shared" si="1"/>
        <v>0</v>
      </c>
      <c r="I18" s="26">
        <f t="shared" si="2"/>
        <v>0</v>
      </c>
      <c r="J18" s="43"/>
      <c r="K18" s="25"/>
      <c r="L18" s="26"/>
      <c r="M18" s="43"/>
      <c r="N18" s="25"/>
      <c r="O18" s="26"/>
      <c r="P18" s="43"/>
      <c r="Q18" s="25"/>
      <c r="R18" s="23"/>
      <c r="S18" s="8"/>
      <c r="T18" s="4"/>
    </row>
    <row r="19" spans="1:20">
      <c r="A19" s="4">
        <v>14</v>
      </c>
      <c r="B19" s="32" t="s">
        <v>55</v>
      </c>
      <c r="C19" s="69">
        <f>入力!C18</f>
        <v>0</v>
      </c>
      <c r="D19" s="37" t="s">
        <v>56</v>
      </c>
      <c r="E19" s="70">
        <f>入力!E18</f>
        <v>0</v>
      </c>
      <c r="F19" s="24">
        <f t="shared" si="0"/>
        <v>0</v>
      </c>
      <c r="G19" s="71">
        <f>入力!G18</f>
        <v>0</v>
      </c>
      <c r="H19" s="25">
        <f t="shared" si="1"/>
        <v>0</v>
      </c>
      <c r="I19" s="26">
        <f t="shared" si="2"/>
        <v>0</v>
      </c>
      <c r="J19" s="43"/>
      <c r="K19" s="25"/>
      <c r="L19" s="26"/>
      <c r="M19" s="43"/>
      <c r="N19" s="25"/>
      <c r="O19" s="26"/>
      <c r="P19" s="43"/>
      <c r="Q19" s="25"/>
      <c r="R19" s="23"/>
      <c r="S19" s="8"/>
      <c r="T19" s="4"/>
    </row>
    <row r="20" spans="1:20">
      <c r="A20" s="4">
        <v>15</v>
      </c>
      <c r="B20" s="32" t="s">
        <v>55</v>
      </c>
      <c r="C20" s="69">
        <f>入力!C19</f>
        <v>0</v>
      </c>
      <c r="D20" s="37" t="s">
        <v>56</v>
      </c>
      <c r="E20" s="70">
        <f>入力!E19</f>
        <v>0</v>
      </c>
      <c r="F20" s="24">
        <f t="shared" si="0"/>
        <v>0</v>
      </c>
      <c r="G20" s="71">
        <f>入力!G19</f>
        <v>0</v>
      </c>
      <c r="H20" s="25">
        <f t="shared" si="1"/>
        <v>0</v>
      </c>
      <c r="I20" s="26">
        <f t="shared" si="2"/>
        <v>0</v>
      </c>
      <c r="J20" s="43"/>
      <c r="K20" s="25"/>
      <c r="L20" s="26"/>
      <c r="M20" s="43"/>
      <c r="N20" s="25"/>
      <c r="O20" s="26"/>
      <c r="P20" s="43"/>
      <c r="Q20" s="25"/>
      <c r="R20" s="23"/>
      <c r="S20" s="8"/>
      <c r="T20" s="4"/>
    </row>
    <row r="21" spans="1:20">
      <c r="A21" s="4">
        <v>16</v>
      </c>
      <c r="B21" s="32" t="s">
        <v>55</v>
      </c>
      <c r="C21" s="69">
        <f>入力!C20</f>
        <v>0</v>
      </c>
      <c r="D21" s="37" t="s">
        <v>56</v>
      </c>
      <c r="E21" s="70">
        <f>入力!E20</f>
        <v>0</v>
      </c>
      <c r="F21" s="24">
        <f t="shared" si="0"/>
        <v>0</v>
      </c>
      <c r="G21" s="71">
        <f>入力!G20</f>
        <v>0</v>
      </c>
      <c r="H21" s="25">
        <f t="shared" si="1"/>
        <v>0</v>
      </c>
      <c r="I21" s="26">
        <f t="shared" si="2"/>
        <v>0</v>
      </c>
      <c r="J21" s="43"/>
      <c r="K21" s="25"/>
      <c r="L21" s="26"/>
      <c r="M21" s="43"/>
      <c r="N21" s="25"/>
      <c r="O21" s="26"/>
      <c r="P21" s="43"/>
      <c r="Q21" s="25"/>
      <c r="R21" s="23"/>
      <c r="S21" s="8"/>
      <c r="T21" s="4"/>
    </row>
    <row r="22" spans="1:20">
      <c r="A22" s="4">
        <v>17</v>
      </c>
      <c r="B22" s="32" t="s">
        <v>55</v>
      </c>
      <c r="C22" s="69">
        <f>入力!C21</f>
        <v>0</v>
      </c>
      <c r="D22" s="37" t="s">
        <v>56</v>
      </c>
      <c r="E22" s="70">
        <f>入力!E21</f>
        <v>0</v>
      </c>
      <c r="F22" s="24">
        <f t="shared" si="0"/>
        <v>0</v>
      </c>
      <c r="G22" s="71">
        <f>入力!G21</f>
        <v>0</v>
      </c>
      <c r="H22" s="25">
        <f t="shared" si="1"/>
        <v>0</v>
      </c>
      <c r="I22" s="26">
        <f t="shared" si="2"/>
        <v>0</v>
      </c>
      <c r="J22" s="43"/>
      <c r="K22" s="25"/>
      <c r="L22" s="26"/>
      <c r="M22" s="43"/>
      <c r="N22" s="25"/>
      <c r="O22" s="26"/>
      <c r="P22" s="43"/>
      <c r="Q22" s="25"/>
      <c r="R22" s="23"/>
      <c r="S22" s="8"/>
      <c r="T22" s="4"/>
    </row>
    <row r="23" spans="1:20" s="27" customFormat="1">
      <c r="A23" s="4">
        <v>18</v>
      </c>
      <c r="B23" s="32" t="s">
        <v>55</v>
      </c>
      <c r="C23" s="69">
        <f>入力!C22</f>
        <v>0</v>
      </c>
      <c r="D23" s="37" t="s">
        <v>56</v>
      </c>
      <c r="E23" s="70">
        <f>入力!E22</f>
        <v>0</v>
      </c>
      <c r="F23" s="24">
        <f t="shared" si="0"/>
        <v>0</v>
      </c>
      <c r="G23" s="71">
        <f>入力!G22</f>
        <v>0</v>
      </c>
      <c r="H23" s="25">
        <f t="shared" si="1"/>
        <v>0</v>
      </c>
      <c r="I23" s="26">
        <f t="shared" si="2"/>
        <v>0</v>
      </c>
      <c r="J23" s="43"/>
      <c r="K23" s="25"/>
      <c r="L23" s="26"/>
      <c r="M23" s="43"/>
      <c r="N23" s="25"/>
      <c r="O23" s="26"/>
      <c r="P23" s="43"/>
      <c r="Q23" s="25"/>
      <c r="R23" s="23"/>
      <c r="S23" s="72"/>
    </row>
    <row r="24" spans="1:20">
      <c r="A24" s="4">
        <v>19</v>
      </c>
      <c r="B24" s="32" t="s">
        <v>55</v>
      </c>
      <c r="C24" s="69">
        <f>入力!C23</f>
        <v>0</v>
      </c>
      <c r="D24" s="37" t="s">
        <v>56</v>
      </c>
      <c r="E24" s="70">
        <f>入力!E23</f>
        <v>0</v>
      </c>
      <c r="F24" s="24">
        <f t="shared" si="0"/>
        <v>0</v>
      </c>
      <c r="G24" s="71">
        <f>入力!G23</f>
        <v>0</v>
      </c>
      <c r="H24" s="25">
        <f t="shared" si="1"/>
        <v>0</v>
      </c>
      <c r="I24" s="26">
        <f t="shared" si="2"/>
        <v>0</v>
      </c>
      <c r="J24" s="43"/>
      <c r="K24" s="25"/>
      <c r="L24" s="26"/>
      <c r="M24" s="43"/>
      <c r="N24" s="25"/>
      <c r="O24" s="26"/>
      <c r="P24" s="43"/>
      <c r="Q24" s="25"/>
      <c r="R24" s="23"/>
      <c r="S24" s="8"/>
      <c r="T24" s="73"/>
    </row>
    <row r="25" spans="1:20">
      <c r="A25" s="4">
        <v>20</v>
      </c>
      <c r="B25" s="32" t="s">
        <v>55</v>
      </c>
      <c r="C25" s="69">
        <f>入力!C24</f>
        <v>0</v>
      </c>
      <c r="D25" s="37" t="s">
        <v>56</v>
      </c>
      <c r="E25" s="70">
        <f>入力!E24</f>
        <v>0</v>
      </c>
      <c r="F25" s="24">
        <f t="shared" si="0"/>
        <v>0</v>
      </c>
      <c r="G25" s="71">
        <f>入力!G24</f>
        <v>0</v>
      </c>
      <c r="H25" s="25">
        <f t="shared" si="1"/>
        <v>0</v>
      </c>
      <c r="I25" s="26">
        <f t="shared" si="2"/>
        <v>0</v>
      </c>
      <c r="J25" s="43"/>
      <c r="K25" s="25"/>
      <c r="L25" s="26"/>
      <c r="M25" s="43"/>
      <c r="N25" s="25"/>
      <c r="O25" s="26"/>
      <c r="P25" s="43"/>
      <c r="Q25" s="25"/>
      <c r="R25" s="23"/>
      <c r="S25" s="8"/>
      <c r="T25" s="4"/>
    </row>
    <row r="26" spans="1:20">
      <c r="A26" s="4">
        <v>21</v>
      </c>
      <c r="B26" s="32" t="s">
        <v>55</v>
      </c>
      <c r="C26" s="69">
        <f>入力!C25</f>
        <v>0</v>
      </c>
      <c r="D26" s="37" t="s">
        <v>56</v>
      </c>
      <c r="E26" s="70">
        <f>入力!E25</f>
        <v>0</v>
      </c>
      <c r="F26" s="24">
        <f t="shared" si="0"/>
        <v>0</v>
      </c>
      <c r="G26" s="71">
        <f>入力!G25</f>
        <v>0</v>
      </c>
      <c r="H26" s="25">
        <f t="shared" si="1"/>
        <v>0</v>
      </c>
      <c r="I26" s="26">
        <f t="shared" si="2"/>
        <v>0</v>
      </c>
      <c r="J26" s="43"/>
      <c r="K26" s="25"/>
      <c r="L26" s="26"/>
      <c r="M26" s="43"/>
      <c r="N26" s="25"/>
      <c r="O26" s="26"/>
      <c r="P26" s="43"/>
      <c r="Q26" s="25"/>
      <c r="R26" s="23"/>
      <c r="S26" s="8"/>
      <c r="T26" s="4"/>
    </row>
    <row r="27" spans="1:20" s="27" customFormat="1">
      <c r="A27" s="4">
        <v>22</v>
      </c>
      <c r="B27" s="32" t="s">
        <v>55</v>
      </c>
      <c r="C27" s="69">
        <f>入力!C26</f>
        <v>0</v>
      </c>
      <c r="D27" s="37" t="s">
        <v>56</v>
      </c>
      <c r="E27" s="70">
        <f>入力!E26</f>
        <v>0</v>
      </c>
      <c r="F27" s="24">
        <f t="shared" si="0"/>
        <v>0</v>
      </c>
      <c r="G27" s="71">
        <f>入力!G26</f>
        <v>0</v>
      </c>
      <c r="H27" s="25">
        <f t="shared" si="1"/>
        <v>0</v>
      </c>
      <c r="I27" s="26">
        <f t="shared" si="2"/>
        <v>0</v>
      </c>
      <c r="J27" s="43"/>
      <c r="K27" s="25"/>
      <c r="L27" s="26"/>
      <c r="M27" s="43"/>
      <c r="N27" s="25"/>
      <c r="O27" s="26"/>
      <c r="P27" s="43"/>
      <c r="Q27" s="25"/>
      <c r="R27" s="23"/>
      <c r="S27" s="72"/>
    </row>
    <row r="28" spans="1:20">
      <c r="A28" s="4">
        <v>23</v>
      </c>
      <c r="B28" s="32" t="s">
        <v>55</v>
      </c>
      <c r="C28" s="69">
        <f>入力!C27</f>
        <v>0</v>
      </c>
      <c r="D28" s="37" t="s">
        <v>56</v>
      </c>
      <c r="E28" s="70">
        <f>入力!E27</f>
        <v>0</v>
      </c>
      <c r="F28" s="24">
        <f t="shared" si="0"/>
        <v>0</v>
      </c>
      <c r="G28" s="71">
        <f>入力!G27</f>
        <v>0</v>
      </c>
      <c r="H28" s="25">
        <f t="shared" si="1"/>
        <v>0</v>
      </c>
      <c r="I28" s="26">
        <f t="shared" si="2"/>
        <v>0</v>
      </c>
      <c r="J28" s="43"/>
      <c r="K28" s="25"/>
      <c r="L28" s="26"/>
      <c r="M28" s="43"/>
      <c r="N28" s="25"/>
      <c r="O28" s="26"/>
      <c r="P28" s="43"/>
      <c r="Q28" s="25"/>
      <c r="R28" s="23"/>
      <c r="S28" s="8"/>
      <c r="T28" s="4"/>
    </row>
    <row r="29" spans="1:20">
      <c r="A29" s="4">
        <v>24</v>
      </c>
      <c r="B29" s="32" t="s">
        <v>55</v>
      </c>
      <c r="C29" s="69">
        <f>入力!C28</f>
        <v>0</v>
      </c>
      <c r="D29" s="37" t="s">
        <v>56</v>
      </c>
      <c r="E29" s="70">
        <f>入力!E28</f>
        <v>0</v>
      </c>
      <c r="F29" s="24">
        <f t="shared" si="0"/>
        <v>0</v>
      </c>
      <c r="G29" s="71">
        <f>入力!G28</f>
        <v>0</v>
      </c>
      <c r="H29" s="25">
        <f t="shared" si="1"/>
        <v>0</v>
      </c>
      <c r="I29" s="26">
        <f t="shared" si="2"/>
        <v>0</v>
      </c>
      <c r="J29" s="43"/>
      <c r="K29" s="25"/>
      <c r="L29" s="26"/>
      <c r="M29" s="43"/>
      <c r="N29" s="25"/>
      <c r="O29" s="26"/>
      <c r="P29" s="43"/>
      <c r="Q29" s="25"/>
      <c r="R29" s="23"/>
      <c r="S29" s="8"/>
      <c r="T29" s="4"/>
    </row>
    <row r="30" spans="1:20">
      <c r="A30" s="4">
        <v>25</v>
      </c>
      <c r="B30" s="32" t="s">
        <v>55</v>
      </c>
      <c r="C30" s="69">
        <f>入力!C29</f>
        <v>0</v>
      </c>
      <c r="D30" s="37" t="s">
        <v>56</v>
      </c>
      <c r="E30" s="70">
        <f>入力!E29</f>
        <v>0</v>
      </c>
      <c r="F30" s="24">
        <f t="shared" si="0"/>
        <v>0</v>
      </c>
      <c r="G30" s="71">
        <f>入力!G29</f>
        <v>0</v>
      </c>
      <c r="H30" s="25">
        <f t="shared" si="1"/>
        <v>0</v>
      </c>
      <c r="I30" s="26">
        <f t="shared" si="2"/>
        <v>0</v>
      </c>
      <c r="J30" s="43"/>
      <c r="K30" s="25"/>
      <c r="L30" s="26"/>
      <c r="M30" s="43"/>
      <c r="N30" s="25"/>
      <c r="O30" s="26"/>
      <c r="P30" s="43"/>
      <c r="Q30" s="25"/>
      <c r="R30" s="23"/>
      <c r="S30" s="8"/>
      <c r="T30" s="4"/>
    </row>
    <row r="31" spans="1:20">
      <c r="A31" s="4">
        <v>26</v>
      </c>
      <c r="B31" s="32"/>
      <c r="C31" s="69"/>
      <c r="D31" s="37"/>
      <c r="E31" s="70"/>
      <c r="F31" s="24"/>
      <c r="G31" s="71"/>
      <c r="H31" s="25"/>
      <c r="I31" s="26"/>
      <c r="J31" s="43"/>
      <c r="K31" s="25"/>
      <c r="L31" s="26"/>
      <c r="M31" s="43"/>
      <c r="N31" s="25"/>
      <c r="O31" s="26"/>
      <c r="P31" s="43"/>
      <c r="Q31" s="25"/>
      <c r="R31" s="23"/>
      <c r="S31" s="8"/>
      <c r="T31" s="4"/>
    </row>
    <row r="32" spans="1:20">
      <c r="A32" s="4">
        <v>27</v>
      </c>
      <c r="B32" s="32"/>
      <c r="C32" s="69"/>
      <c r="D32" s="37"/>
      <c r="E32" s="70"/>
      <c r="F32" s="24"/>
      <c r="G32" s="71"/>
      <c r="H32" s="25"/>
      <c r="I32" s="26"/>
      <c r="J32" s="43"/>
      <c r="K32" s="25"/>
      <c r="L32" s="26"/>
      <c r="M32" s="43"/>
      <c r="N32" s="25"/>
      <c r="O32" s="26"/>
      <c r="P32" s="43"/>
      <c r="Q32" s="25"/>
      <c r="R32" s="23"/>
      <c r="S32" s="8"/>
      <c r="T32" s="4"/>
    </row>
    <row r="33" spans="1:20" s="27" customFormat="1">
      <c r="A33" s="4">
        <v>28</v>
      </c>
      <c r="B33" s="32"/>
      <c r="C33" s="69"/>
      <c r="D33" s="37"/>
      <c r="E33" s="70"/>
      <c r="F33" s="24"/>
      <c r="G33" s="71"/>
      <c r="H33" s="25"/>
      <c r="I33" s="26"/>
      <c r="J33" s="43"/>
      <c r="K33" s="25"/>
      <c r="L33" s="26"/>
      <c r="M33" s="43"/>
      <c r="N33" s="25"/>
      <c r="O33" s="26"/>
      <c r="P33" s="43"/>
      <c r="Q33" s="25"/>
      <c r="R33" s="23"/>
      <c r="S33" s="72"/>
    </row>
    <row r="34" spans="1:20">
      <c r="A34" s="4">
        <v>29</v>
      </c>
      <c r="B34" s="32"/>
      <c r="C34" s="69"/>
      <c r="D34" s="37"/>
      <c r="E34" s="70"/>
      <c r="F34" s="24"/>
      <c r="G34" s="71"/>
      <c r="H34" s="25"/>
      <c r="I34" s="26"/>
      <c r="J34" s="43"/>
      <c r="K34" s="25"/>
      <c r="L34" s="26"/>
      <c r="M34" s="43"/>
      <c r="N34" s="25"/>
      <c r="O34" s="26"/>
      <c r="P34" s="43"/>
      <c r="Q34" s="25"/>
      <c r="R34" s="23"/>
      <c r="S34" s="8"/>
      <c r="T34" s="4"/>
    </row>
    <row r="35" spans="1:20">
      <c r="A35" s="4">
        <v>30</v>
      </c>
      <c r="B35" s="32"/>
      <c r="C35" s="69"/>
      <c r="D35" s="37"/>
      <c r="E35" s="70"/>
      <c r="F35" s="24"/>
      <c r="G35" s="71"/>
      <c r="H35" s="25"/>
      <c r="I35" s="26"/>
      <c r="J35" s="43"/>
      <c r="K35" s="25"/>
      <c r="L35" s="26"/>
      <c r="M35" s="43"/>
      <c r="N35" s="25"/>
      <c r="O35" s="26"/>
      <c r="P35" s="43"/>
      <c r="Q35" s="25"/>
      <c r="R35" s="23"/>
      <c r="S35" s="8"/>
      <c r="T35" s="4"/>
    </row>
    <row r="36" spans="1:20">
      <c r="A36" s="4">
        <v>31</v>
      </c>
      <c r="B36" s="32"/>
      <c r="C36" s="69"/>
      <c r="D36" s="37"/>
      <c r="E36" s="70"/>
      <c r="F36" s="24"/>
      <c r="G36" s="71"/>
      <c r="H36" s="25"/>
      <c r="I36" s="26"/>
      <c r="J36" s="43"/>
      <c r="K36" s="25"/>
      <c r="L36" s="26"/>
      <c r="M36" s="43"/>
      <c r="N36" s="25"/>
      <c r="O36" s="26"/>
      <c r="P36" s="43"/>
      <c r="Q36" s="25"/>
      <c r="R36" s="23"/>
      <c r="S36" s="8"/>
      <c r="T36" s="4"/>
    </row>
    <row r="37" spans="1:20">
      <c r="A37" s="4">
        <v>32</v>
      </c>
      <c r="B37" s="32"/>
      <c r="C37" s="69"/>
      <c r="D37" s="37"/>
      <c r="E37" s="70"/>
      <c r="F37" s="24"/>
      <c r="G37" s="71"/>
      <c r="H37" s="25"/>
      <c r="I37" s="26"/>
      <c r="J37" s="43"/>
      <c r="K37" s="25"/>
      <c r="L37" s="26"/>
      <c r="M37" s="43"/>
      <c r="N37" s="25"/>
      <c r="O37" s="26"/>
      <c r="P37" s="43"/>
      <c r="Q37" s="25"/>
      <c r="R37" s="23"/>
      <c r="S37" s="8"/>
      <c r="T37" s="4"/>
    </row>
    <row r="38" spans="1:20">
      <c r="A38" s="4">
        <v>33</v>
      </c>
      <c r="B38" s="32"/>
      <c r="C38" s="69"/>
      <c r="D38" s="37"/>
      <c r="E38" s="70"/>
      <c r="F38" s="24"/>
      <c r="G38" s="71"/>
      <c r="H38" s="25"/>
      <c r="I38" s="26"/>
      <c r="J38" s="43"/>
      <c r="K38" s="25"/>
      <c r="L38" s="26"/>
      <c r="M38" s="43"/>
      <c r="N38" s="25"/>
      <c r="O38" s="26"/>
      <c r="P38" s="43"/>
      <c r="Q38" s="25"/>
      <c r="R38" s="23"/>
      <c r="S38" s="8"/>
      <c r="T38" s="4"/>
    </row>
    <row r="39" spans="1:20">
      <c r="A39" s="4">
        <v>34</v>
      </c>
      <c r="B39" s="32"/>
      <c r="C39" s="69"/>
      <c r="D39" s="37"/>
      <c r="E39" s="70"/>
      <c r="F39" s="24"/>
      <c r="G39" s="71"/>
      <c r="H39" s="25"/>
      <c r="I39" s="26"/>
      <c r="J39" s="43"/>
      <c r="K39" s="25"/>
      <c r="L39" s="26"/>
      <c r="M39" s="43"/>
      <c r="N39" s="25"/>
      <c r="O39" s="26"/>
      <c r="P39" s="43"/>
      <c r="Q39" s="25"/>
      <c r="R39" s="23"/>
      <c r="S39" s="8"/>
      <c r="T39" s="4"/>
    </row>
    <row r="40" spans="1:20" ht="12.6" customHeight="1" thickBot="1">
      <c r="A40" s="4">
        <v>35</v>
      </c>
      <c r="B40" s="32"/>
      <c r="C40" s="69"/>
      <c r="D40" s="37"/>
      <c r="E40" s="70"/>
      <c r="F40" s="24"/>
      <c r="G40" s="71"/>
      <c r="H40" s="25"/>
      <c r="I40" s="26"/>
      <c r="J40" s="43"/>
      <c r="K40" s="25"/>
      <c r="L40" s="26"/>
      <c r="M40" s="43"/>
      <c r="N40" s="25"/>
      <c r="O40" s="26"/>
      <c r="P40" s="43"/>
      <c r="Q40" s="25"/>
      <c r="R40" s="23"/>
      <c r="S40" s="8"/>
      <c r="T40" s="4"/>
    </row>
    <row r="41" spans="1:20" ht="12.6" customHeight="1" thickTop="1">
      <c r="B41" s="74"/>
      <c r="C41" s="194" t="s">
        <v>57</v>
      </c>
      <c r="D41" s="76"/>
      <c r="E41" s="49" t="s">
        <v>58</v>
      </c>
      <c r="F41" s="40" t="str">
        <f>IF(SUM(F6:F40)=0,"",SUM(F6:F40))</f>
        <v/>
      </c>
      <c r="G41" s="46"/>
      <c r="H41" s="33"/>
      <c r="I41" s="40">
        <f>SUM(I7:I40)</f>
        <v>0</v>
      </c>
      <c r="J41" s="77"/>
      <c r="K41" s="33"/>
      <c r="L41" s="40"/>
      <c r="M41" s="48"/>
      <c r="N41" s="33"/>
      <c r="O41" s="40"/>
      <c r="P41" s="48"/>
      <c r="Q41" s="33"/>
      <c r="R41" s="47"/>
      <c r="S41" s="8"/>
      <c r="T41" s="4"/>
    </row>
    <row r="42" spans="1:20">
      <c r="B42" s="78"/>
      <c r="C42" s="30" t="str">
        <f>IF(C40="","合","累")</f>
        <v>合</v>
      </c>
      <c r="D42" s="29"/>
      <c r="E42" s="30" t="s">
        <v>58</v>
      </c>
      <c r="F42" s="1" t="str">
        <f>F41</f>
        <v/>
      </c>
      <c r="G42" s="44"/>
      <c r="H42" s="28"/>
      <c r="I42" s="1">
        <f>I41</f>
        <v>0</v>
      </c>
      <c r="J42" s="45"/>
      <c r="K42" s="28"/>
      <c r="L42" s="1"/>
      <c r="M42" s="80"/>
      <c r="N42" s="28"/>
      <c r="O42" s="1"/>
      <c r="P42" s="80"/>
      <c r="Q42" s="28"/>
      <c r="R42" s="2"/>
      <c r="S42" s="8"/>
      <c r="T42" s="4"/>
    </row>
    <row r="43" spans="1:20">
      <c r="A43" s="96"/>
    </row>
  </sheetData>
  <mergeCells count="4">
    <mergeCell ref="J3:L3"/>
    <mergeCell ref="P3:R3"/>
    <mergeCell ref="G3:I3"/>
    <mergeCell ref="M3:O3"/>
  </mergeCells>
  <phoneticPr fontId="24"/>
  <printOptions horizontalCentered="1" verticalCentered="1" gridLinesSet="0"/>
  <pageMargins left="0.31496062992125978" right="0.19685039370078741" top="1.03" bottom="0.31496062992125978" header="1.19" footer="0.36"/>
  <pageSetup paperSize="9" orientation="landscape" blackAndWhite="1" horizontalDpi="4294967292" verticalDpi="300" r:id="rId1"/>
  <headerFooter alignWithMargins="0">
    <oddHeader>&amp;R&amp;P／&amp;N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syncVertical="1" syncRef="A6" transitionEvaluation="1" transitionEntry="1" codeName="Sheet3"/>
  <dimension ref="A1:V42"/>
  <sheetViews>
    <sheetView showGridLines="0" view="pageBreakPreview" zoomScale="130" zoomScaleNormal="75" zoomScaleSheetLayoutView="130" workbookViewId="0">
      <pane ySplit="5" topLeftCell="A6" activePane="bottomLeft" state="frozen"/>
      <selection pane="bottomLeft" activeCell="C8" sqref="C8"/>
    </sheetView>
  </sheetViews>
  <sheetFormatPr defaultColWidth="10.7109375" defaultRowHeight="12"/>
  <cols>
    <col min="1" max="2" width="4.7109375" style="4" customWidth="1"/>
    <col min="3" max="3" width="5.7109375" style="4" customWidth="1"/>
    <col min="4" max="4" width="2.5703125" style="4" customWidth="1"/>
    <col min="5" max="5" width="9.5703125" style="4" bestFit="1" customWidth="1"/>
    <col min="6" max="6" width="10.140625" style="4" bestFit="1" customWidth="1"/>
    <col min="7" max="7" width="10.7109375" style="81" customWidth="1"/>
    <col min="8" max="8" width="8.7109375" style="4" customWidth="1"/>
    <col min="9" max="11" width="9.7109375" style="4" customWidth="1"/>
    <col min="12" max="12" width="9.7109375" style="81" customWidth="1"/>
    <col min="13" max="13" width="8.7109375" style="82" customWidth="1"/>
    <col min="14" max="15" width="9.7109375" style="4" customWidth="1"/>
    <col min="16" max="16" width="8.7109375" style="82" customWidth="1"/>
    <col min="17" max="17" width="9.7109375" style="4" customWidth="1"/>
    <col min="18" max="18" width="9.5703125" style="4" customWidth="1"/>
    <col min="19" max="19" width="8.7109375" style="82" customWidth="1"/>
    <col min="20" max="21" width="9.7109375" style="4" customWidth="1"/>
    <col min="22" max="22" width="8.7109375" style="82" customWidth="1"/>
    <col min="23" max="24" width="9.7109375" style="4" customWidth="1"/>
    <col min="25" max="25" width="11" style="4" customWidth="1"/>
    <col min="26" max="26" width="10.7109375" style="4" customWidth="1"/>
    <col min="27" max="16384" width="10.7109375" style="4"/>
  </cols>
  <sheetData>
    <row r="1" spans="1:22" ht="16.5" customHeight="1">
      <c r="A1" s="55"/>
      <c r="B1" s="56" t="s">
        <v>45</v>
      </c>
      <c r="C1" s="54"/>
      <c r="D1" s="54"/>
      <c r="E1" s="54"/>
      <c r="F1" s="57"/>
      <c r="G1" s="58"/>
      <c r="H1" s="54"/>
      <c r="I1" s="54"/>
      <c r="J1" s="54"/>
      <c r="K1" s="54"/>
      <c r="L1" s="58"/>
      <c r="M1" s="54"/>
      <c r="N1" s="3"/>
      <c r="O1" s="59"/>
      <c r="P1" s="54"/>
      <c r="Q1" s="54"/>
      <c r="R1" s="59"/>
      <c r="S1" s="54"/>
      <c r="T1" s="54"/>
      <c r="V1" s="4"/>
    </row>
    <row r="2" spans="1:22" ht="12.95" customHeight="1">
      <c r="A2" s="55"/>
      <c r="B2" s="60"/>
      <c r="C2" s="54"/>
      <c r="D2" s="54"/>
      <c r="E2" s="54"/>
      <c r="F2" s="57"/>
      <c r="G2" s="58"/>
      <c r="H2" s="54"/>
      <c r="I2" s="54"/>
      <c r="J2" s="54"/>
      <c r="K2" s="54"/>
      <c r="L2" s="58"/>
      <c r="M2" s="54"/>
      <c r="N2" s="3"/>
      <c r="O2" s="59"/>
      <c r="P2" s="54"/>
      <c r="Q2" s="54"/>
      <c r="R2" s="59"/>
      <c r="S2" s="61"/>
      <c r="T2" s="62"/>
      <c r="V2" s="4"/>
    </row>
    <row r="3" spans="1:22">
      <c r="B3" s="5" t="s">
        <v>46</v>
      </c>
      <c r="C3" s="6"/>
      <c r="D3" s="6"/>
      <c r="E3" s="6"/>
      <c r="F3" s="7" t="s">
        <v>47</v>
      </c>
      <c r="G3" s="251" t="str">
        <f>IF(入力!K2="","",入力!K2)</f>
        <v>路体盛土
(W＜2.5m)</v>
      </c>
      <c r="H3" s="247"/>
      <c r="I3" s="248"/>
      <c r="J3" s="229"/>
      <c r="K3" s="229"/>
      <c r="L3" s="246" t="str">
        <f>IF(入力!N2="","",入力!N2)</f>
        <v>路体盛土
(2.5m≦W＜4.0m)</v>
      </c>
      <c r="M3" s="247"/>
      <c r="N3" s="248"/>
      <c r="O3" s="251" t="str">
        <f>IF(入力!O2="","",入力!O2)</f>
        <v>路体盛土
(4.0m≦W)</v>
      </c>
      <c r="P3" s="247"/>
      <c r="Q3" s="248"/>
      <c r="R3" s="249" t="str">
        <f>IF(入力!P2="","",入力!P2)</f>
        <v/>
      </c>
      <c r="S3" s="247"/>
      <c r="T3" s="250"/>
      <c r="U3" s="8"/>
      <c r="V3" s="4"/>
    </row>
    <row r="4" spans="1:22">
      <c r="B4" s="8"/>
      <c r="E4" s="9"/>
      <c r="F4" s="10"/>
      <c r="G4" s="41" t="s">
        <v>48</v>
      </c>
      <c r="H4" s="63" t="s">
        <v>49</v>
      </c>
      <c r="I4" s="12" t="s">
        <v>50</v>
      </c>
      <c r="J4" s="252"/>
      <c r="K4" s="84"/>
      <c r="L4" s="41" t="s">
        <v>48</v>
      </c>
      <c r="M4" s="63" t="s">
        <v>49</v>
      </c>
      <c r="N4" s="12" t="s">
        <v>50</v>
      </c>
      <c r="O4" s="11" t="s">
        <v>48</v>
      </c>
      <c r="P4" s="63" t="s">
        <v>49</v>
      </c>
      <c r="Q4" s="12" t="s">
        <v>50</v>
      </c>
      <c r="R4" s="13" t="s">
        <v>48</v>
      </c>
      <c r="S4" s="64" t="s">
        <v>49</v>
      </c>
      <c r="T4" s="14" t="s">
        <v>50</v>
      </c>
      <c r="U4" s="8"/>
      <c r="V4" s="4"/>
    </row>
    <row r="5" spans="1:22" ht="12.6" customHeight="1" thickBot="1">
      <c r="B5" s="15" t="s">
        <v>51</v>
      </c>
      <c r="C5" s="16"/>
      <c r="D5" s="16"/>
      <c r="E5" s="65">
        <f>入力!E4</f>
        <v>20</v>
      </c>
      <c r="F5" s="17" t="s">
        <v>52</v>
      </c>
      <c r="G5" s="42" t="s">
        <v>53</v>
      </c>
      <c r="H5" s="38" t="s">
        <v>53</v>
      </c>
      <c r="I5" s="38" t="s">
        <v>54</v>
      </c>
      <c r="J5" s="253"/>
      <c r="K5" s="230"/>
      <c r="L5" s="42" t="s">
        <v>53</v>
      </c>
      <c r="M5" s="38" t="s">
        <v>53</v>
      </c>
      <c r="N5" s="38" t="s">
        <v>54</v>
      </c>
      <c r="O5" s="18" t="s">
        <v>53</v>
      </c>
      <c r="P5" s="38" t="s">
        <v>53</v>
      </c>
      <c r="Q5" s="38" t="s">
        <v>54</v>
      </c>
      <c r="R5" s="19" t="s">
        <v>53</v>
      </c>
      <c r="S5" s="38" t="s">
        <v>53</v>
      </c>
      <c r="T5" s="39" t="s">
        <v>54</v>
      </c>
      <c r="U5" s="8"/>
      <c r="V5" s="4"/>
    </row>
    <row r="6" spans="1:22" ht="12.6" customHeight="1" thickTop="1">
      <c r="A6" s="4">
        <v>1</v>
      </c>
      <c r="B6" s="51" t="s">
        <v>55</v>
      </c>
      <c r="C6" s="66">
        <f>入力!C5</f>
        <v>0</v>
      </c>
      <c r="D6" s="52" t="s">
        <v>56</v>
      </c>
      <c r="E6" s="67">
        <f>入力!E5</f>
        <v>0</v>
      </c>
      <c r="F6" s="20"/>
      <c r="G6" s="68">
        <f>入力!K5</f>
        <v>0</v>
      </c>
      <c r="H6" s="21"/>
      <c r="I6" s="22"/>
      <c r="J6" s="231"/>
      <c r="K6" s="231"/>
      <c r="L6" s="43">
        <f>入力!N5</f>
        <v>0</v>
      </c>
      <c r="M6" s="21"/>
      <c r="N6" s="22"/>
      <c r="O6" s="43">
        <f>入力!O5</f>
        <v>0</v>
      </c>
      <c r="P6" s="21"/>
      <c r="Q6" s="22"/>
      <c r="R6" s="43"/>
      <c r="S6" s="21"/>
      <c r="T6" s="23"/>
      <c r="U6" s="8"/>
      <c r="V6" s="4"/>
    </row>
    <row r="7" spans="1:22">
      <c r="A7" s="4">
        <v>2</v>
      </c>
      <c r="B7" s="32" t="s">
        <v>55</v>
      </c>
      <c r="C7" s="69">
        <f>入力!C6</f>
        <v>0</v>
      </c>
      <c r="D7" s="37" t="s">
        <v>56</v>
      </c>
      <c r="E7" s="70">
        <f>入力!E6</f>
        <v>0</v>
      </c>
      <c r="F7" s="24">
        <f t="shared" ref="F7:F30" si="0">IF(ISBLANK(C7),"",(C7-C6)*$E$5+(E7-E6))</f>
        <v>0</v>
      </c>
      <c r="G7" s="71">
        <f>入力!K6</f>
        <v>0</v>
      </c>
      <c r="H7" s="25">
        <f t="shared" ref="H7:H30" si="1">IF(ISBLANK($C7),"",(G6+G7)/2)</f>
        <v>0</v>
      </c>
      <c r="I7" s="26">
        <f t="shared" ref="I7:I30" si="2">ROUND(IF(ISBLANK($C7),"",$F7*H7),1)</f>
        <v>0</v>
      </c>
      <c r="J7" s="231"/>
      <c r="K7" s="231"/>
      <c r="L7" s="43">
        <f>入力!N6</f>
        <v>0</v>
      </c>
      <c r="M7" s="25">
        <f t="shared" ref="M7:M30" si="3">IF(ISBLANK($C7),"",(L6+L7)/2)</f>
        <v>0</v>
      </c>
      <c r="N7" s="26">
        <f t="shared" ref="N7:N30" si="4">ROUND(IF(ISBLANK($C7),"",$F7*M7),1)</f>
        <v>0</v>
      </c>
      <c r="O7" s="43">
        <f>入力!O6</f>
        <v>0</v>
      </c>
      <c r="P7" s="25">
        <f t="shared" ref="P7:P30" si="5">IF(ISBLANK($C7),"",(O6+O7)/2)</f>
        <v>0</v>
      </c>
      <c r="Q7" s="26">
        <f t="shared" ref="Q7:Q30" si="6">ROUND(IF(ISBLANK($C7),"",$F7*P7),1)</f>
        <v>0</v>
      </c>
      <c r="R7" s="43"/>
      <c r="S7" s="25"/>
      <c r="T7" s="23"/>
      <c r="U7" s="8"/>
      <c r="V7" s="4"/>
    </row>
    <row r="8" spans="1:22" s="27" customFormat="1">
      <c r="A8" s="4">
        <v>3</v>
      </c>
      <c r="B8" s="32" t="s">
        <v>55</v>
      </c>
      <c r="C8" s="69">
        <f>入力!C7</f>
        <v>0</v>
      </c>
      <c r="D8" s="37" t="s">
        <v>56</v>
      </c>
      <c r="E8" s="70">
        <f>入力!E7</f>
        <v>0</v>
      </c>
      <c r="F8" s="24">
        <f t="shared" si="0"/>
        <v>0</v>
      </c>
      <c r="G8" s="71">
        <f>入力!K7</f>
        <v>0</v>
      </c>
      <c r="H8" s="25">
        <f t="shared" si="1"/>
        <v>0</v>
      </c>
      <c r="I8" s="26">
        <f t="shared" si="2"/>
        <v>0</v>
      </c>
      <c r="J8" s="231"/>
      <c r="K8" s="231"/>
      <c r="L8" s="43">
        <f>入力!N7</f>
        <v>0</v>
      </c>
      <c r="M8" s="25">
        <f t="shared" si="3"/>
        <v>0</v>
      </c>
      <c r="N8" s="26">
        <f t="shared" si="4"/>
        <v>0</v>
      </c>
      <c r="O8" s="43">
        <f>入力!O7</f>
        <v>0</v>
      </c>
      <c r="P8" s="25">
        <f t="shared" si="5"/>
        <v>0</v>
      </c>
      <c r="Q8" s="26">
        <f t="shared" si="6"/>
        <v>0</v>
      </c>
      <c r="R8" s="43"/>
      <c r="S8" s="25"/>
      <c r="T8" s="23"/>
      <c r="U8" s="72"/>
    </row>
    <row r="9" spans="1:22" s="27" customFormat="1">
      <c r="A9" s="4">
        <v>4</v>
      </c>
      <c r="B9" s="32" t="s">
        <v>55</v>
      </c>
      <c r="C9" s="69">
        <f>入力!C8</f>
        <v>0</v>
      </c>
      <c r="D9" s="37" t="s">
        <v>56</v>
      </c>
      <c r="E9" s="70">
        <f>入力!E8</f>
        <v>0</v>
      </c>
      <c r="F9" s="24">
        <f t="shared" si="0"/>
        <v>0</v>
      </c>
      <c r="G9" s="71">
        <f>入力!K8</f>
        <v>0</v>
      </c>
      <c r="H9" s="25">
        <f t="shared" si="1"/>
        <v>0</v>
      </c>
      <c r="I9" s="26">
        <f t="shared" si="2"/>
        <v>0</v>
      </c>
      <c r="J9" s="231"/>
      <c r="K9" s="231"/>
      <c r="L9" s="43">
        <f>入力!N8</f>
        <v>0</v>
      </c>
      <c r="M9" s="25">
        <f t="shared" si="3"/>
        <v>0</v>
      </c>
      <c r="N9" s="26">
        <f t="shared" si="4"/>
        <v>0</v>
      </c>
      <c r="O9" s="43">
        <f>入力!O8</f>
        <v>0</v>
      </c>
      <c r="P9" s="25">
        <f t="shared" si="5"/>
        <v>0</v>
      </c>
      <c r="Q9" s="26">
        <f t="shared" si="6"/>
        <v>0</v>
      </c>
      <c r="R9" s="43"/>
      <c r="S9" s="25"/>
      <c r="T9" s="23"/>
      <c r="U9" s="72"/>
    </row>
    <row r="10" spans="1:22">
      <c r="A10" s="4">
        <v>5</v>
      </c>
      <c r="B10" s="32" t="s">
        <v>55</v>
      </c>
      <c r="C10" s="69">
        <f>入力!C9</f>
        <v>0</v>
      </c>
      <c r="D10" s="37" t="s">
        <v>56</v>
      </c>
      <c r="E10" s="70">
        <f>入力!E9</f>
        <v>0</v>
      </c>
      <c r="F10" s="24">
        <f t="shared" si="0"/>
        <v>0</v>
      </c>
      <c r="G10" s="71">
        <f>入力!K9</f>
        <v>0</v>
      </c>
      <c r="H10" s="25">
        <f t="shared" si="1"/>
        <v>0</v>
      </c>
      <c r="I10" s="26">
        <f t="shared" si="2"/>
        <v>0</v>
      </c>
      <c r="J10" s="231"/>
      <c r="K10" s="231"/>
      <c r="L10" s="43">
        <f>入力!N9</f>
        <v>0</v>
      </c>
      <c r="M10" s="25">
        <f t="shared" si="3"/>
        <v>0</v>
      </c>
      <c r="N10" s="26">
        <f t="shared" si="4"/>
        <v>0</v>
      </c>
      <c r="O10" s="43">
        <f>入力!O9</f>
        <v>0</v>
      </c>
      <c r="P10" s="25">
        <f t="shared" si="5"/>
        <v>0</v>
      </c>
      <c r="Q10" s="26">
        <f t="shared" si="6"/>
        <v>0</v>
      </c>
      <c r="R10" s="43"/>
      <c r="S10" s="25"/>
      <c r="T10" s="23"/>
      <c r="U10" s="8"/>
      <c r="V10" s="4"/>
    </row>
    <row r="11" spans="1:22">
      <c r="A11" s="4">
        <v>6</v>
      </c>
      <c r="B11" s="32" t="s">
        <v>55</v>
      </c>
      <c r="C11" s="69">
        <f>入力!C10</f>
        <v>0</v>
      </c>
      <c r="D11" s="37" t="s">
        <v>56</v>
      </c>
      <c r="E11" s="70">
        <f>入力!E10</f>
        <v>0</v>
      </c>
      <c r="F11" s="24">
        <f t="shared" si="0"/>
        <v>0</v>
      </c>
      <c r="G11" s="71">
        <f>入力!K10</f>
        <v>0</v>
      </c>
      <c r="H11" s="25">
        <f t="shared" si="1"/>
        <v>0</v>
      </c>
      <c r="I11" s="26">
        <f t="shared" si="2"/>
        <v>0</v>
      </c>
      <c r="J11" s="231"/>
      <c r="K11" s="231"/>
      <c r="L11" s="43">
        <f>入力!N10</f>
        <v>0</v>
      </c>
      <c r="M11" s="25">
        <f t="shared" si="3"/>
        <v>0</v>
      </c>
      <c r="N11" s="26">
        <f t="shared" si="4"/>
        <v>0</v>
      </c>
      <c r="O11" s="43">
        <f>入力!O10</f>
        <v>0</v>
      </c>
      <c r="P11" s="25">
        <f t="shared" si="5"/>
        <v>0</v>
      </c>
      <c r="Q11" s="26">
        <f t="shared" si="6"/>
        <v>0</v>
      </c>
      <c r="R11" s="43"/>
      <c r="S11" s="25"/>
      <c r="T11" s="23"/>
      <c r="U11" s="8"/>
      <c r="V11" s="4"/>
    </row>
    <row r="12" spans="1:22" s="27" customFormat="1">
      <c r="A12" s="4">
        <v>7</v>
      </c>
      <c r="B12" s="32" t="s">
        <v>55</v>
      </c>
      <c r="C12" s="69">
        <f>入力!C11</f>
        <v>0</v>
      </c>
      <c r="D12" s="37" t="s">
        <v>56</v>
      </c>
      <c r="E12" s="70">
        <f>入力!E11</f>
        <v>0</v>
      </c>
      <c r="F12" s="24">
        <f t="shared" si="0"/>
        <v>0</v>
      </c>
      <c r="G12" s="71">
        <f>入力!K11</f>
        <v>0</v>
      </c>
      <c r="H12" s="25">
        <f t="shared" si="1"/>
        <v>0</v>
      </c>
      <c r="I12" s="26">
        <f t="shared" si="2"/>
        <v>0</v>
      </c>
      <c r="J12" s="231"/>
      <c r="K12" s="231"/>
      <c r="L12" s="43">
        <f>入力!N11</f>
        <v>0</v>
      </c>
      <c r="M12" s="25">
        <f t="shared" si="3"/>
        <v>0</v>
      </c>
      <c r="N12" s="26">
        <f t="shared" si="4"/>
        <v>0</v>
      </c>
      <c r="O12" s="43">
        <f>入力!O11</f>
        <v>0</v>
      </c>
      <c r="P12" s="25">
        <f t="shared" si="5"/>
        <v>0</v>
      </c>
      <c r="Q12" s="26">
        <f t="shared" si="6"/>
        <v>0</v>
      </c>
      <c r="R12" s="43"/>
      <c r="S12" s="25"/>
      <c r="T12" s="23"/>
      <c r="U12" s="72"/>
    </row>
    <row r="13" spans="1:22" s="27" customFormat="1">
      <c r="A13" s="4">
        <v>8</v>
      </c>
      <c r="B13" s="32" t="s">
        <v>55</v>
      </c>
      <c r="C13" s="69">
        <f>入力!C12</f>
        <v>0</v>
      </c>
      <c r="D13" s="37" t="s">
        <v>56</v>
      </c>
      <c r="E13" s="70">
        <f>入力!E12</f>
        <v>0</v>
      </c>
      <c r="F13" s="24">
        <f t="shared" si="0"/>
        <v>0</v>
      </c>
      <c r="G13" s="71">
        <f>入力!K12</f>
        <v>0</v>
      </c>
      <c r="H13" s="25">
        <f t="shared" si="1"/>
        <v>0</v>
      </c>
      <c r="I13" s="26">
        <f t="shared" si="2"/>
        <v>0</v>
      </c>
      <c r="J13" s="231"/>
      <c r="K13" s="231"/>
      <c r="L13" s="43">
        <f>入力!N12</f>
        <v>0</v>
      </c>
      <c r="M13" s="25">
        <f t="shared" si="3"/>
        <v>0</v>
      </c>
      <c r="N13" s="26">
        <f t="shared" si="4"/>
        <v>0</v>
      </c>
      <c r="O13" s="43">
        <f>入力!O12</f>
        <v>0</v>
      </c>
      <c r="P13" s="25">
        <f t="shared" si="5"/>
        <v>0</v>
      </c>
      <c r="Q13" s="26">
        <f t="shared" si="6"/>
        <v>0</v>
      </c>
      <c r="R13" s="43"/>
      <c r="S13" s="25"/>
      <c r="T13" s="23"/>
      <c r="U13" s="72"/>
    </row>
    <row r="14" spans="1:22">
      <c r="A14" s="4">
        <v>9</v>
      </c>
      <c r="B14" s="32" t="s">
        <v>55</v>
      </c>
      <c r="C14" s="69">
        <f>入力!C13</f>
        <v>0</v>
      </c>
      <c r="D14" s="37" t="s">
        <v>56</v>
      </c>
      <c r="E14" s="70">
        <f>入力!E13</f>
        <v>0</v>
      </c>
      <c r="F14" s="24">
        <f t="shared" si="0"/>
        <v>0</v>
      </c>
      <c r="G14" s="71">
        <f>入力!K13</f>
        <v>0</v>
      </c>
      <c r="H14" s="25">
        <f t="shared" si="1"/>
        <v>0</v>
      </c>
      <c r="I14" s="26">
        <f t="shared" si="2"/>
        <v>0</v>
      </c>
      <c r="J14" s="231"/>
      <c r="K14" s="231"/>
      <c r="L14" s="43">
        <f>入力!N13</f>
        <v>0</v>
      </c>
      <c r="M14" s="25">
        <f t="shared" si="3"/>
        <v>0</v>
      </c>
      <c r="N14" s="26">
        <f t="shared" si="4"/>
        <v>0</v>
      </c>
      <c r="O14" s="43">
        <f>入力!O13</f>
        <v>0</v>
      </c>
      <c r="P14" s="25">
        <f t="shared" si="5"/>
        <v>0</v>
      </c>
      <c r="Q14" s="26">
        <f t="shared" si="6"/>
        <v>0</v>
      </c>
      <c r="R14" s="43"/>
      <c r="S14" s="25"/>
      <c r="T14" s="23"/>
      <c r="U14" s="8"/>
      <c r="V14" s="4"/>
    </row>
    <row r="15" spans="1:22">
      <c r="A15" s="4">
        <v>10</v>
      </c>
      <c r="B15" s="32" t="s">
        <v>55</v>
      </c>
      <c r="C15" s="69">
        <f>入力!C14</f>
        <v>0</v>
      </c>
      <c r="D15" s="37" t="s">
        <v>56</v>
      </c>
      <c r="E15" s="70">
        <f>入力!E14</f>
        <v>0</v>
      </c>
      <c r="F15" s="24">
        <f t="shared" si="0"/>
        <v>0</v>
      </c>
      <c r="G15" s="71">
        <f>入力!K14</f>
        <v>0</v>
      </c>
      <c r="H15" s="25">
        <f t="shared" si="1"/>
        <v>0</v>
      </c>
      <c r="I15" s="26">
        <f t="shared" si="2"/>
        <v>0</v>
      </c>
      <c r="J15" s="231"/>
      <c r="K15" s="231"/>
      <c r="L15" s="43">
        <f>入力!N14</f>
        <v>0</v>
      </c>
      <c r="M15" s="25">
        <f t="shared" si="3"/>
        <v>0</v>
      </c>
      <c r="N15" s="26">
        <f t="shared" si="4"/>
        <v>0</v>
      </c>
      <c r="O15" s="43">
        <f>入力!O14</f>
        <v>0</v>
      </c>
      <c r="P15" s="25">
        <f t="shared" si="5"/>
        <v>0</v>
      </c>
      <c r="Q15" s="26">
        <f t="shared" si="6"/>
        <v>0</v>
      </c>
      <c r="R15" s="43"/>
      <c r="S15" s="25"/>
      <c r="T15" s="23"/>
      <c r="U15" s="8"/>
      <c r="V15" s="4"/>
    </row>
    <row r="16" spans="1:22">
      <c r="A16" s="4">
        <v>11</v>
      </c>
      <c r="B16" s="32" t="s">
        <v>55</v>
      </c>
      <c r="C16" s="69">
        <f>入力!C15</f>
        <v>0</v>
      </c>
      <c r="D16" s="37" t="s">
        <v>56</v>
      </c>
      <c r="E16" s="70">
        <f>入力!E15</f>
        <v>0</v>
      </c>
      <c r="F16" s="24">
        <f t="shared" si="0"/>
        <v>0</v>
      </c>
      <c r="G16" s="71">
        <f>入力!K15</f>
        <v>0</v>
      </c>
      <c r="H16" s="25">
        <f t="shared" si="1"/>
        <v>0</v>
      </c>
      <c r="I16" s="26">
        <f t="shared" si="2"/>
        <v>0</v>
      </c>
      <c r="J16" s="231"/>
      <c r="K16" s="231"/>
      <c r="L16" s="43">
        <f>入力!N15</f>
        <v>0</v>
      </c>
      <c r="M16" s="25">
        <f t="shared" si="3"/>
        <v>0</v>
      </c>
      <c r="N16" s="26">
        <f t="shared" si="4"/>
        <v>0</v>
      </c>
      <c r="O16" s="43">
        <f>入力!O15</f>
        <v>0</v>
      </c>
      <c r="P16" s="25">
        <f t="shared" si="5"/>
        <v>0</v>
      </c>
      <c r="Q16" s="26">
        <f t="shared" si="6"/>
        <v>0</v>
      </c>
      <c r="R16" s="43"/>
      <c r="S16" s="25"/>
      <c r="T16" s="23"/>
      <c r="U16" s="8"/>
      <c r="V16" s="4"/>
    </row>
    <row r="17" spans="1:22" s="27" customFormat="1">
      <c r="A17" s="4">
        <v>12</v>
      </c>
      <c r="B17" s="32" t="s">
        <v>55</v>
      </c>
      <c r="C17" s="69">
        <f>入力!C16</f>
        <v>0</v>
      </c>
      <c r="D17" s="37" t="s">
        <v>56</v>
      </c>
      <c r="E17" s="70">
        <f>入力!E16</f>
        <v>0</v>
      </c>
      <c r="F17" s="24">
        <f t="shared" si="0"/>
        <v>0</v>
      </c>
      <c r="G17" s="71">
        <f>入力!K16</f>
        <v>0</v>
      </c>
      <c r="H17" s="25">
        <f t="shared" si="1"/>
        <v>0</v>
      </c>
      <c r="I17" s="26">
        <f t="shared" si="2"/>
        <v>0</v>
      </c>
      <c r="J17" s="231"/>
      <c r="K17" s="231"/>
      <c r="L17" s="43">
        <f>入力!N16</f>
        <v>0</v>
      </c>
      <c r="M17" s="25">
        <f t="shared" si="3"/>
        <v>0</v>
      </c>
      <c r="N17" s="26">
        <f t="shared" si="4"/>
        <v>0</v>
      </c>
      <c r="O17" s="43">
        <f>入力!O16</f>
        <v>0</v>
      </c>
      <c r="P17" s="25">
        <f t="shared" si="5"/>
        <v>0</v>
      </c>
      <c r="Q17" s="26">
        <f t="shared" si="6"/>
        <v>0</v>
      </c>
      <c r="R17" s="43"/>
      <c r="S17" s="25"/>
      <c r="T17" s="23"/>
      <c r="U17" s="72"/>
    </row>
    <row r="18" spans="1:22">
      <c r="A18" s="4">
        <v>13</v>
      </c>
      <c r="B18" s="32" t="s">
        <v>55</v>
      </c>
      <c r="C18" s="69">
        <f>入力!C17</f>
        <v>0</v>
      </c>
      <c r="D18" s="37" t="s">
        <v>56</v>
      </c>
      <c r="E18" s="70">
        <f>入力!E17</f>
        <v>0</v>
      </c>
      <c r="F18" s="24">
        <f t="shared" si="0"/>
        <v>0</v>
      </c>
      <c r="G18" s="71">
        <f>入力!K17</f>
        <v>0</v>
      </c>
      <c r="H18" s="25">
        <f t="shared" si="1"/>
        <v>0</v>
      </c>
      <c r="I18" s="26">
        <f t="shared" si="2"/>
        <v>0</v>
      </c>
      <c r="J18" s="231"/>
      <c r="K18" s="231"/>
      <c r="L18" s="43">
        <f>入力!N17</f>
        <v>0</v>
      </c>
      <c r="M18" s="25">
        <f t="shared" si="3"/>
        <v>0</v>
      </c>
      <c r="N18" s="26">
        <f t="shared" si="4"/>
        <v>0</v>
      </c>
      <c r="O18" s="43">
        <f>入力!O17</f>
        <v>0</v>
      </c>
      <c r="P18" s="25">
        <f t="shared" si="5"/>
        <v>0</v>
      </c>
      <c r="Q18" s="26">
        <f t="shared" si="6"/>
        <v>0</v>
      </c>
      <c r="R18" s="43"/>
      <c r="S18" s="25"/>
      <c r="T18" s="23"/>
      <c r="U18" s="8"/>
      <c r="V18" s="4"/>
    </row>
    <row r="19" spans="1:22">
      <c r="A19" s="4">
        <v>14</v>
      </c>
      <c r="B19" s="32" t="s">
        <v>55</v>
      </c>
      <c r="C19" s="69">
        <f>入力!C18</f>
        <v>0</v>
      </c>
      <c r="D19" s="37" t="s">
        <v>56</v>
      </c>
      <c r="E19" s="70">
        <f>入力!E18</f>
        <v>0</v>
      </c>
      <c r="F19" s="24">
        <f t="shared" si="0"/>
        <v>0</v>
      </c>
      <c r="G19" s="71">
        <f>入力!K18</f>
        <v>0</v>
      </c>
      <c r="H19" s="25">
        <f t="shared" si="1"/>
        <v>0</v>
      </c>
      <c r="I19" s="26">
        <f t="shared" si="2"/>
        <v>0</v>
      </c>
      <c r="J19" s="231"/>
      <c r="K19" s="231"/>
      <c r="L19" s="43">
        <f>入力!N18</f>
        <v>0</v>
      </c>
      <c r="M19" s="25">
        <f t="shared" si="3"/>
        <v>0</v>
      </c>
      <c r="N19" s="26">
        <f t="shared" si="4"/>
        <v>0</v>
      </c>
      <c r="O19" s="43">
        <f>入力!O18</f>
        <v>0</v>
      </c>
      <c r="P19" s="25">
        <f t="shared" si="5"/>
        <v>0</v>
      </c>
      <c r="Q19" s="26">
        <f t="shared" si="6"/>
        <v>0</v>
      </c>
      <c r="R19" s="43"/>
      <c r="S19" s="25"/>
      <c r="T19" s="23"/>
      <c r="U19" s="8"/>
      <c r="V19" s="4"/>
    </row>
    <row r="20" spans="1:22">
      <c r="A20" s="4">
        <v>15</v>
      </c>
      <c r="B20" s="32" t="s">
        <v>55</v>
      </c>
      <c r="C20" s="69">
        <f>入力!C19</f>
        <v>0</v>
      </c>
      <c r="D20" s="37" t="s">
        <v>56</v>
      </c>
      <c r="E20" s="70">
        <f>入力!E19</f>
        <v>0</v>
      </c>
      <c r="F20" s="24">
        <f t="shared" si="0"/>
        <v>0</v>
      </c>
      <c r="G20" s="71">
        <f>入力!K19</f>
        <v>0</v>
      </c>
      <c r="H20" s="25">
        <f t="shared" si="1"/>
        <v>0</v>
      </c>
      <c r="I20" s="26">
        <f t="shared" si="2"/>
        <v>0</v>
      </c>
      <c r="J20" s="231"/>
      <c r="K20" s="231"/>
      <c r="L20" s="43">
        <f>入力!N19</f>
        <v>0</v>
      </c>
      <c r="M20" s="25">
        <f t="shared" si="3"/>
        <v>0</v>
      </c>
      <c r="N20" s="26">
        <f t="shared" si="4"/>
        <v>0</v>
      </c>
      <c r="O20" s="43">
        <f>入力!O19</f>
        <v>0</v>
      </c>
      <c r="P20" s="25">
        <f t="shared" si="5"/>
        <v>0</v>
      </c>
      <c r="Q20" s="26">
        <f t="shared" si="6"/>
        <v>0</v>
      </c>
      <c r="R20" s="43"/>
      <c r="S20" s="25"/>
      <c r="T20" s="23"/>
      <c r="U20" s="8"/>
      <c r="V20" s="4"/>
    </row>
    <row r="21" spans="1:22">
      <c r="A21" s="4">
        <v>16</v>
      </c>
      <c r="B21" s="32" t="s">
        <v>55</v>
      </c>
      <c r="C21" s="69">
        <f>入力!C20</f>
        <v>0</v>
      </c>
      <c r="D21" s="37" t="s">
        <v>56</v>
      </c>
      <c r="E21" s="70">
        <f>入力!E20</f>
        <v>0</v>
      </c>
      <c r="F21" s="24">
        <f t="shared" si="0"/>
        <v>0</v>
      </c>
      <c r="G21" s="71">
        <f>入力!K20</f>
        <v>0</v>
      </c>
      <c r="H21" s="25">
        <f t="shared" si="1"/>
        <v>0</v>
      </c>
      <c r="I21" s="26">
        <f t="shared" si="2"/>
        <v>0</v>
      </c>
      <c r="J21" s="231"/>
      <c r="K21" s="231"/>
      <c r="L21" s="43">
        <f>入力!N20</f>
        <v>0</v>
      </c>
      <c r="M21" s="25">
        <f t="shared" si="3"/>
        <v>0</v>
      </c>
      <c r="N21" s="26">
        <f t="shared" si="4"/>
        <v>0</v>
      </c>
      <c r="O21" s="43">
        <f>入力!O20</f>
        <v>0</v>
      </c>
      <c r="P21" s="25">
        <f t="shared" si="5"/>
        <v>0</v>
      </c>
      <c r="Q21" s="26">
        <f t="shared" si="6"/>
        <v>0</v>
      </c>
      <c r="R21" s="43"/>
      <c r="S21" s="25"/>
      <c r="T21" s="23"/>
      <c r="U21" s="8"/>
      <c r="V21" s="4"/>
    </row>
    <row r="22" spans="1:22">
      <c r="A22" s="4">
        <v>17</v>
      </c>
      <c r="B22" s="32" t="s">
        <v>55</v>
      </c>
      <c r="C22" s="69">
        <f>入力!C21</f>
        <v>0</v>
      </c>
      <c r="D22" s="37" t="s">
        <v>56</v>
      </c>
      <c r="E22" s="70">
        <f>入力!E21</f>
        <v>0</v>
      </c>
      <c r="F22" s="24">
        <f t="shared" si="0"/>
        <v>0</v>
      </c>
      <c r="G22" s="71">
        <f>入力!K21</f>
        <v>0</v>
      </c>
      <c r="H22" s="25">
        <f t="shared" si="1"/>
        <v>0</v>
      </c>
      <c r="I22" s="26">
        <f t="shared" si="2"/>
        <v>0</v>
      </c>
      <c r="J22" s="231"/>
      <c r="K22" s="231"/>
      <c r="L22" s="43">
        <f>入力!N21</f>
        <v>0</v>
      </c>
      <c r="M22" s="25">
        <f t="shared" si="3"/>
        <v>0</v>
      </c>
      <c r="N22" s="26">
        <f t="shared" si="4"/>
        <v>0</v>
      </c>
      <c r="O22" s="43">
        <f>入力!O21</f>
        <v>0</v>
      </c>
      <c r="P22" s="25">
        <f t="shared" si="5"/>
        <v>0</v>
      </c>
      <c r="Q22" s="26">
        <f t="shared" si="6"/>
        <v>0</v>
      </c>
      <c r="R22" s="43"/>
      <c r="S22" s="25"/>
      <c r="T22" s="23"/>
      <c r="U22" s="8"/>
      <c r="V22" s="4"/>
    </row>
    <row r="23" spans="1:22" s="27" customFormat="1">
      <c r="A23" s="4">
        <v>18</v>
      </c>
      <c r="B23" s="32" t="s">
        <v>55</v>
      </c>
      <c r="C23" s="69">
        <f>入力!C22</f>
        <v>0</v>
      </c>
      <c r="D23" s="37" t="s">
        <v>56</v>
      </c>
      <c r="E23" s="70">
        <f>入力!E22</f>
        <v>0</v>
      </c>
      <c r="F23" s="24">
        <f t="shared" si="0"/>
        <v>0</v>
      </c>
      <c r="G23" s="71">
        <f>入力!K22</f>
        <v>0</v>
      </c>
      <c r="H23" s="25">
        <f t="shared" si="1"/>
        <v>0</v>
      </c>
      <c r="I23" s="26">
        <f t="shared" si="2"/>
        <v>0</v>
      </c>
      <c r="J23" s="231"/>
      <c r="K23" s="231"/>
      <c r="L23" s="43">
        <f>入力!N22</f>
        <v>0</v>
      </c>
      <c r="M23" s="25">
        <f t="shared" si="3"/>
        <v>0</v>
      </c>
      <c r="N23" s="26">
        <f t="shared" si="4"/>
        <v>0</v>
      </c>
      <c r="O23" s="43">
        <f>入力!O22</f>
        <v>0</v>
      </c>
      <c r="P23" s="25">
        <f t="shared" si="5"/>
        <v>0</v>
      </c>
      <c r="Q23" s="26">
        <f t="shared" si="6"/>
        <v>0</v>
      </c>
      <c r="R23" s="43"/>
      <c r="S23" s="25"/>
      <c r="T23" s="23"/>
      <c r="U23" s="72"/>
    </row>
    <row r="24" spans="1:22">
      <c r="A24" s="4">
        <v>19</v>
      </c>
      <c r="B24" s="32" t="s">
        <v>55</v>
      </c>
      <c r="C24" s="69">
        <f>入力!C23</f>
        <v>0</v>
      </c>
      <c r="D24" s="37" t="s">
        <v>56</v>
      </c>
      <c r="E24" s="70">
        <f>入力!E23</f>
        <v>0</v>
      </c>
      <c r="F24" s="24">
        <f t="shared" si="0"/>
        <v>0</v>
      </c>
      <c r="G24" s="71">
        <f>入力!K23</f>
        <v>0</v>
      </c>
      <c r="H24" s="25">
        <f t="shared" si="1"/>
        <v>0</v>
      </c>
      <c r="I24" s="26">
        <f t="shared" si="2"/>
        <v>0</v>
      </c>
      <c r="J24" s="231"/>
      <c r="K24" s="231"/>
      <c r="L24" s="43">
        <f>入力!N23</f>
        <v>0</v>
      </c>
      <c r="M24" s="25">
        <f t="shared" si="3"/>
        <v>0</v>
      </c>
      <c r="N24" s="26">
        <f t="shared" si="4"/>
        <v>0</v>
      </c>
      <c r="O24" s="43">
        <f>入力!O23</f>
        <v>0</v>
      </c>
      <c r="P24" s="25">
        <f t="shared" si="5"/>
        <v>0</v>
      </c>
      <c r="Q24" s="26">
        <f t="shared" si="6"/>
        <v>0</v>
      </c>
      <c r="R24" s="43"/>
      <c r="S24" s="25"/>
      <c r="T24" s="23"/>
      <c r="U24" s="8"/>
      <c r="V24" s="73"/>
    </row>
    <row r="25" spans="1:22">
      <c r="A25" s="4">
        <v>20</v>
      </c>
      <c r="B25" s="32" t="s">
        <v>55</v>
      </c>
      <c r="C25" s="69">
        <f>入力!C24</f>
        <v>0</v>
      </c>
      <c r="D25" s="37" t="s">
        <v>56</v>
      </c>
      <c r="E25" s="70">
        <f>入力!E24</f>
        <v>0</v>
      </c>
      <c r="F25" s="24">
        <f t="shared" si="0"/>
        <v>0</v>
      </c>
      <c r="G25" s="71">
        <f>入力!K24</f>
        <v>0</v>
      </c>
      <c r="H25" s="25">
        <f t="shared" si="1"/>
        <v>0</v>
      </c>
      <c r="I25" s="26">
        <f t="shared" si="2"/>
        <v>0</v>
      </c>
      <c r="J25" s="231"/>
      <c r="K25" s="231"/>
      <c r="L25" s="43">
        <f>入力!N24</f>
        <v>0</v>
      </c>
      <c r="M25" s="25">
        <f t="shared" si="3"/>
        <v>0</v>
      </c>
      <c r="N25" s="26">
        <f t="shared" si="4"/>
        <v>0</v>
      </c>
      <c r="O25" s="43">
        <f>入力!O24</f>
        <v>0</v>
      </c>
      <c r="P25" s="25">
        <f t="shared" si="5"/>
        <v>0</v>
      </c>
      <c r="Q25" s="26">
        <f t="shared" si="6"/>
        <v>0</v>
      </c>
      <c r="R25" s="43"/>
      <c r="S25" s="25"/>
      <c r="T25" s="23"/>
      <c r="U25" s="8"/>
      <c r="V25" s="4"/>
    </row>
    <row r="26" spans="1:22">
      <c r="A26" s="4">
        <v>21</v>
      </c>
      <c r="B26" s="32" t="s">
        <v>55</v>
      </c>
      <c r="C26" s="69">
        <f>入力!C25</f>
        <v>0</v>
      </c>
      <c r="D26" s="37" t="s">
        <v>56</v>
      </c>
      <c r="E26" s="70">
        <f>入力!E25</f>
        <v>0</v>
      </c>
      <c r="F26" s="24">
        <f t="shared" si="0"/>
        <v>0</v>
      </c>
      <c r="G26" s="71">
        <f>入力!K25</f>
        <v>0</v>
      </c>
      <c r="H26" s="25">
        <f t="shared" si="1"/>
        <v>0</v>
      </c>
      <c r="I26" s="26">
        <f t="shared" si="2"/>
        <v>0</v>
      </c>
      <c r="J26" s="231"/>
      <c r="K26" s="231"/>
      <c r="L26" s="43">
        <f>入力!N25</f>
        <v>0</v>
      </c>
      <c r="M26" s="25">
        <f t="shared" si="3"/>
        <v>0</v>
      </c>
      <c r="N26" s="26">
        <f t="shared" si="4"/>
        <v>0</v>
      </c>
      <c r="O26" s="43">
        <f>入力!O25</f>
        <v>0</v>
      </c>
      <c r="P26" s="25">
        <f t="shared" si="5"/>
        <v>0</v>
      </c>
      <c r="Q26" s="26">
        <f t="shared" si="6"/>
        <v>0</v>
      </c>
      <c r="R26" s="43"/>
      <c r="S26" s="25"/>
      <c r="T26" s="23"/>
      <c r="U26" s="8"/>
      <c r="V26" s="4"/>
    </row>
    <row r="27" spans="1:22" s="27" customFormat="1">
      <c r="A27" s="4">
        <v>22</v>
      </c>
      <c r="B27" s="32" t="s">
        <v>55</v>
      </c>
      <c r="C27" s="69">
        <f>入力!C26</f>
        <v>0</v>
      </c>
      <c r="D27" s="37" t="s">
        <v>56</v>
      </c>
      <c r="E27" s="70">
        <f>入力!E26</f>
        <v>0</v>
      </c>
      <c r="F27" s="24">
        <f t="shared" si="0"/>
        <v>0</v>
      </c>
      <c r="G27" s="71">
        <f>入力!K26</f>
        <v>0</v>
      </c>
      <c r="H27" s="25">
        <f t="shared" si="1"/>
        <v>0</v>
      </c>
      <c r="I27" s="26">
        <f t="shared" si="2"/>
        <v>0</v>
      </c>
      <c r="J27" s="231"/>
      <c r="K27" s="231"/>
      <c r="L27" s="43">
        <f>入力!N26</f>
        <v>0</v>
      </c>
      <c r="M27" s="25">
        <f t="shared" si="3"/>
        <v>0</v>
      </c>
      <c r="N27" s="26">
        <f t="shared" si="4"/>
        <v>0</v>
      </c>
      <c r="O27" s="43">
        <f>入力!O26</f>
        <v>0</v>
      </c>
      <c r="P27" s="25">
        <f t="shared" si="5"/>
        <v>0</v>
      </c>
      <c r="Q27" s="26">
        <f t="shared" si="6"/>
        <v>0</v>
      </c>
      <c r="R27" s="43"/>
      <c r="S27" s="25"/>
      <c r="T27" s="23"/>
      <c r="U27" s="72"/>
    </row>
    <row r="28" spans="1:22">
      <c r="A28" s="4">
        <v>23</v>
      </c>
      <c r="B28" s="32" t="s">
        <v>55</v>
      </c>
      <c r="C28" s="69">
        <f>入力!C27</f>
        <v>0</v>
      </c>
      <c r="D28" s="37" t="s">
        <v>56</v>
      </c>
      <c r="E28" s="70">
        <f>入力!E27</f>
        <v>0</v>
      </c>
      <c r="F28" s="24">
        <f t="shared" si="0"/>
        <v>0</v>
      </c>
      <c r="G28" s="71">
        <f>入力!K27</f>
        <v>0</v>
      </c>
      <c r="H28" s="25">
        <f t="shared" si="1"/>
        <v>0</v>
      </c>
      <c r="I28" s="26">
        <f t="shared" si="2"/>
        <v>0</v>
      </c>
      <c r="J28" s="231"/>
      <c r="K28" s="231"/>
      <c r="L28" s="43">
        <f>入力!N27</f>
        <v>0</v>
      </c>
      <c r="M28" s="25">
        <f t="shared" si="3"/>
        <v>0</v>
      </c>
      <c r="N28" s="26">
        <f t="shared" si="4"/>
        <v>0</v>
      </c>
      <c r="O28" s="43">
        <f>入力!O27</f>
        <v>0</v>
      </c>
      <c r="P28" s="25">
        <f t="shared" si="5"/>
        <v>0</v>
      </c>
      <c r="Q28" s="26">
        <f t="shared" si="6"/>
        <v>0</v>
      </c>
      <c r="R28" s="43"/>
      <c r="S28" s="25"/>
      <c r="T28" s="23"/>
      <c r="U28" s="8"/>
      <c r="V28" s="4"/>
    </row>
    <row r="29" spans="1:22">
      <c r="A29" s="4">
        <v>24</v>
      </c>
      <c r="B29" s="32" t="s">
        <v>55</v>
      </c>
      <c r="C29" s="69">
        <f>入力!C28</f>
        <v>0</v>
      </c>
      <c r="D29" s="37" t="s">
        <v>56</v>
      </c>
      <c r="E29" s="70">
        <f>入力!E28</f>
        <v>0</v>
      </c>
      <c r="F29" s="24">
        <f t="shared" si="0"/>
        <v>0</v>
      </c>
      <c r="G29" s="71">
        <f>入力!K28</f>
        <v>0</v>
      </c>
      <c r="H29" s="25">
        <f t="shared" si="1"/>
        <v>0</v>
      </c>
      <c r="I29" s="26">
        <f t="shared" si="2"/>
        <v>0</v>
      </c>
      <c r="J29" s="231"/>
      <c r="K29" s="231"/>
      <c r="L29" s="43">
        <f>入力!N28</f>
        <v>0</v>
      </c>
      <c r="M29" s="25">
        <f t="shared" si="3"/>
        <v>0</v>
      </c>
      <c r="N29" s="26">
        <f t="shared" si="4"/>
        <v>0</v>
      </c>
      <c r="O29" s="43">
        <f>入力!O28</f>
        <v>0</v>
      </c>
      <c r="P29" s="25">
        <f t="shared" si="5"/>
        <v>0</v>
      </c>
      <c r="Q29" s="26">
        <f t="shared" si="6"/>
        <v>0</v>
      </c>
      <c r="R29" s="43"/>
      <c r="S29" s="25"/>
      <c r="T29" s="23"/>
      <c r="U29" s="8"/>
      <c r="V29" s="4"/>
    </row>
    <row r="30" spans="1:22">
      <c r="A30" s="4">
        <v>25</v>
      </c>
      <c r="B30" s="32" t="s">
        <v>55</v>
      </c>
      <c r="C30" s="69">
        <f>入力!C29</f>
        <v>0</v>
      </c>
      <c r="D30" s="37" t="s">
        <v>56</v>
      </c>
      <c r="E30" s="70">
        <f>入力!E29</f>
        <v>0</v>
      </c>
      <c r="F30" s="24">
        <f t="shared" si="0"/>
        <v>0</v>
      </c>
      <c r="G30" s="71">
        <f>入力!K29</f>
        <v>0</v>
      </c>
      <c r="H30" s="25">
        <f t="shared" si="1"/>
        <v>0</v>
      </c>
      <c r="I30" s="26">
        <f t="shared" si="2"/>
        <v>0</v>
      </c>
      <c r="J30" s="231"/>
      <c r="K30" s="231"/>
      <c r="L30" s="43">
        <f>入力!N29</f>
        <v>0</v>
      </c>
      <c r="M30" s="25">
        <f t="shared" si="3"/>
        <v>0</v>
      </c>
      <c r="N30" s="26">
        <f t="shared" si="4"/>
        <v>0</v>
      </c>
      <c r="O30" s="43">
        <f>入力!O29</f>
        <v>0</v>
      </c>
      <c r="P30" s="25">
        <f t="shared" si="5"/>
        <v>0</v>
      </c>
      <c r="Q30" s="26">
        <f t="shared" si="6"/>
        <v>0</v>
      </c>
      <c r="R30" s="43"/>
      <c r="S30" s="25"/>
      <c r="T30" s="23"/>
      <c r="U30" s="8"/>
      <c r="V30" s="4"/>
    </row>
    <row r="31" spans="1:22">
      <c r="A31" s="4">
        <v>26</v>
      </c>
      <c r="B31" s="32"/>
      <c r="C31" s="69"/>
      <c r="D31" s="37"/>
      <c r="E31" s="70"/>
      <c r="F31" s="24"/>
      <c r="G31" s="71"/>
      <c r="H31" s="25"/>
      <c r="I31" s="26"/>
      <c r="J31" s="231"/>
      <c r="K31" s="231"/>
      <c r="L31" s="43"/>
      <c r="M31" s="25"/>
      <c r="N31" s="26"/>
      <c r="O31" s="43"/>
      <c r="P31" s="25"/>
      <c r="Q31" s="26"/>
      <c r="R31" s="43"/>
      <c r="S31" s="25"/>
      <c r="T31" s="23"/>
      <c r="U31" s="8"/>
      <c r="V31" s="4"/>
    </row>
    <row r="32" spans="1:22">
      <c r="A32" s="4">
        <v>27</v>
      </c>
      <c r="B32" s="32"/>
      <c r="C32" s="69"/>
      <c r="D32" s="37"/>
      <c r="E32" s="70"/>
      <c r="F32" s="24"/>
      <c r="G32" s="71"/>
      <c r="H32" s="25"/>
      <c r="I32" s="26"/>
      <c r="J32" s="231"/>
      <c r="K32" s="231"/>
      <c r="L32" s="43"/>
      <c r="M32" s="25"/>
      <c r="N32" s="26"/>
      <c r="O32" s="43"/>
      <c r="P32" s="25"/>
      <c r="Q32" s="26"/>
      <c r="R32" s="43"/>
      <c r="S32" s="25"/>
      <c r="T32" s="23"/>
      <c r="U32" s="8"/>
      <c r="V32" s="4"/>
    </row>
    <row r="33" spans="1:22" s="27" customFormat="1">
      <c r="A33" s="4">
        <v>28</v>
      </c>
      <c r="B33" s="32"/>
      <c r="C33" s="69"/>
      <c r="D33" s="37"/>
      <c r="E33" s="70"/>
      <c r="F33" s="24"/>
      <c r="G33" s="71"/>
      <c r="H33" s="25"/>
      <c r="I33" s="26"/>
      <c r="J33" s="231"/>
      <c r="K33" s="231"/>
      <c r="L33" s="43"/>
      <c r="M33" s="25"/>
      <c r="N33" s="26"/>
      <c r="O33" s="43"/>
      <c r="P33" s="25"/>
      <c r="Q33" s="26"/>
      <c r="R33" s="43"/>
      <c r="S33" s="25"/>
      <c r="T33" s="23"/>
      <c r="U33" s="72"/>
    </row>
    <row r="34" spans="1:22">
      <c r="A34" s="4">
        <v>29</v>
      </c>
      <c r="B34" s="32"/>
      <c r="C34" s="69"/>
      <c r="D34" s="37"/>
      <c r="E34" s="70"/>
      <c r="F34" s="24"/>
      <c r="G34" s="71"/>
      <c r="H34" s="25"/>
      <c r="I34" s="26"/>
      <c r="J34" s="231"/>
      <c r="K34" s="231"/>
      <c r="L34" s="43"/>
      <c r="M34" s="25"/>
      <c r="N34" s="26"/>
      <c r="O34" s="43"/>
      <c r="P34" s="25"/>
      <c r="Q34" s="26"/>
      <c r="R34" s="43"/>
      <c r="S34" s="25"/>
      <c r="T34" s="23"/>
      <c r="U34" s="8"/>
      <c r="V34" s="4"/>
    </row>
    <row r="35" spans="1:22">
      <c r="A35" s="4">
        <v>30</v>
      </c>
      <c r="B35" s="32"/>
      <c r="C35" s="69"/>
      <c r="D35" s="37"/>
      <c r="E35" s="70"/>
      <c r="F35" s="24"/>
      <c r="G35" s="71"/>
      <c r="H35" s="25"/>
      <c r="I35" s="26"/>
      <c r="J35" s="231"/>
      <c r="K35" s="231"/>
      <c r="L35" s="43"/>
      <c r="M35" s="25"/>
      <c r="N35" s="26"/>
      <c r="O35" s="43"/>
      <c r="P35" s="25"/>
      <c r="Q35" s="26"/>
      <c r="R35" s="43"/>
      <c r="S35" s="25"/>
      <c r="T35" s="23"/>
      <c r="U35" s="8"/>
      <c r="V35" s="4"/>
    </row>
    <row r="36" spans="1:22">
      <c r="A36" s="4">
        <v>31</v>
      </c>
      <c r="B36" s="32"/>
      <c r="C36" s="69"/>
      <c r="D36" s="37"/>
      <c r="E36" s="70"/>
      <c r="F36" s="24"/>
      <c r="G36" s="71"/>
      <c r="H36" s="25"/>
      <c r="I36" s="26"/>
      <c r="J36" s="231"/>
      <c r="K36" s="231"/>
      <c r="L36" s="43"/>
      <c r="M36" s="25"/>
      <c r="N36" s="26"/>
      <c r="O36" s="43"/>
      <c r="P36" s="25"/>
      <c r="Q36" s="26"/>
      <c r="R36" s="43"/>
      <c r="S36" s="25"/>
      <c r="T36" s="23"/>
      <c r="U36" s="8"/>
      <c r="V36" s="4"/>
    </row>
    <row r="37" spans="1:22">
      <c r="A37" s="4">
        <v>32</v>
      </c>
      <c r="B37" s="32"/>
      <c r="C37" s="69"/>
      <c r="D37" s="37"/>
      <c r="E37" s="70"/>
      <c r="F37" s="24"/>
      <c r="G37" s="71"/>
      <c r="H37" s="25"/>
      <c r="I37" s="26"/>
      <c r="J37" s="231"/>
      <c r="K37" s="231"/>
      <c r="L37" s="43"/>
      <c r="M37" s="25"/>
      <c r="N37" s="26"/>
      <c r="O37" s="43"/>
      <c r="P37" s="25"/>
      <c r="Q37" s="26"/>
      <c r="R37" s="43"/>
      <c r="S37" s="25"/>
      <c r="T37" s="23"/>
      <c r="U37" s="8"/>
      <c r="V37" s="4"/>
    </row>
    <row r="38" spans="1:22">
      <c r="A38" s="4">
        <v>33</v>
      </c>
      <c r="B38" s="32"/>
      <c r="C38" s="69"/>
      <c r="D38" s="37"/>
      <c r="E38" s="70"/>
      <c r="F38" s="24"/>
      <c r="G38" s="71"/>
      <c r="H38" s="25"/>
      <c r="I38" s="26"/>
      <c r="J38" s="231"/>
      <c r="K38" s="231"/>
      <c r="L38" s="43"/>
      <c r="M38" s="25"/>
      <c r="N38" s="26"/>
      <c r="O38" s="43"/>
      <c r="P38" s="25"/>
      <c r="Q38" s="26"/>
      <c r="R38" s="43"/>
      <c r="S38" s="25"/>
      <c r="T38" s="23"/>
      <c r="U38" s="8"/>
      <c r="V38" s="4"/>
    </row>
    <row r="39" spans="1:22">
      <c r="A39" s="4">
        <v>34</v>
      </c>
      <c r="B39" s="32"/>
      <c r="C39" s="69"/>
      <c r="D39" s="37"/>
      <c r="E39" s="70"/>
      <c r="F39" s="24"/>
      <c r="G39" s="71"/>
      <c r="H39" s="25"/>
      <c r="I39" s="26"/>
      <c r="J39" s="231"/>
      <c r="K39" s="231"/>
      <c r="L39" s="43"/>
      <c r="M39" s="25"/>
      <c r="N39" s="26"/>
      <c r="O39" s="43"/>
      <c r="P39" s="25"/>
      <c r="Q39" s="26"/>
      <c r="R39" s="43"/>
      <c r="S39" s="25"/>
      <c r="T39" s="23"/>
      <c r="U39" s="8"/>
      <c r="V39" s="4"/>
    </row>
    <row r="40" spans="1:22" ht="12.6" customHeight="1" thickBot="1">
      <c r="A40" s="4">
        <v>35</v>
      </c>
      <c r="B40" s="32"/>
      <c r="C40" s="69"/>
      <c r="D40" s="37"/>
      <c r="E40" s="70"/>
      <c r="F40" s="24"/>
      <c r="G40" s="71"/>
      <c r="H40" s="25"/>
      <c r="I40" s="26"/>
      <c r="J40" s="231"/>
      <c r="K40" s="231"/>
      <c r="L40" s="43"/>
      <c r="M40" s="25"/>
      <c r="N40" s="26"/>
      <c r="O40" s="43"/>
      <c r="P40" s="25"/>
      <c r="Q40" s="26"/>
      <c r="R40" s="43"/>
      <c r="S40" s="25"/>
      <c r="T40" s="23"/>
      <c r="U40" s="8"/>
      <c r="V40" s="4"/>
    </row>
    <row r="41" spans="1:22" ht="12.6" customHeight="1" thickTop="1">
      <c r="B41" s="74"/>
      <c r="C41" s="75" t="s">
        <v>57</v>
      </c>
      <c r="D41" s="76"/>
      <c r="E41" s="49" t="s">
        <v>58</v>
      </c>
      <c r="F41" s="40" t="str">
        <f>IF(SUM(F6:F40)=0,"",SUM(F6:F40))</f>
        <v/>
      </c>
      <c r="G41" s="46"/>
      <c r="H41" s="33"/>
      <c r="I41" s="40">
        <f>SUM(I7:I40)</f>
        <v>0</v>
      </c>
      <c r="J41" s="232"/>
      <c r="K41" s="232"/>
      <c r="L41" s="77"/>
      <c r="M41" s="33"/>
      <c r="N41" s="40">
        <f>SUM(N7:N40)</f>
        <v>0</v>
      </c>
      <c r="O41" s="48"/>
      <c r="P41" s="33"/>
      <c r="Q41" s="40">
        <f>SUM(Q7:Q40)</f>
        <v>0</v>
      </c>
      <c r="R41" s="48"/>
      <c r="S41" s="33"/>
      <c r="T41" s="47"/>
      <c r="U41" s="8"/>
      <c r="V41" s="4"/>
    </row>
    <row r="42" spans="1:22">
      <c r="B42" s="78"/>
      <c r="C42" s="79" t="str">
        <f>IF(C40="","合","累")</f>
        <v>合</v>
      </c>
      <c r="D42" s="29"/>
      <c r="E42" s="30" t="s">
        <v>58</v>
      </c>
      <c r="F42" s="1" t="str">
        <f>F41</f>
        <v/>
      </c>
      <c r="G42" s="44"/>
      <c r="H42" s="28"/>
      <c r="I42" s="1">
        <f>I41</f>
        <v>0</v>
      </c>
      <c r="J42" s="233"/>
      <c r="K42" s="233"/>
      <c r="L42" s="45"/>
      <c r="M42" s="28"/>
      <c r="N42" s="1">
        <f>N41</f>
        <v>0</v>
      </c>
      <c r="O42" s="80"/>
      <c r="P42" s="28"/>
      <c r="Q42" s="1">
        <f>Q41</f>
        <v>0</v>
      </c>
      <c r="R42" s="80"/>
      <c r="S42" s="28"/>
      <c r="T42" s="2"/>
      <c r="U42" s="8"/>
      <c r="V42" s="4"/>
    </row>
  </sheetData>
  <mergeCells count="5">
    <mergeCell ref="R3:T3"/>
    <mergeCell ref="J4:J5"/>
    <mergeCell ref="G3:I3"/>
    <mergeCell ref="L3:N3"/>
    <mergeCell ref="O3:Q3"/>
  </mergeCells>
  <phoneticPr fontId="24"/>
  <printOptions horizontalCentered="1" verticalCentered="1" gridLinesSet="0"/>
  <pageMargins left="0.31496062992125978" right="0.19685039370078741" top="1.03" bottom="0.31496062992125978" header="1.19" footer="0.36"/>
  <pageSetup paperSize="9" orientation="landscape" blackAndWhite="1" horizontalDpi="4294967292" verticalDpi="300" r:id="rId1"/>
  <headerFooter alignWithMargins="0">
    <oddHeader>&amp;R&amp;P／&amp;N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syncVertical="1" syncRef="A1" transitionEvaluation="1" transitionEntry="1" codeName="Sheet4"/>
  <dimension ref="A1:T42"/>
  <sheetViews>
    <sheetView showGridLines="0" view="pageBreakPreview" zoomScaleNormal="75" zoomScaleSheetLayoutView="100" workbookViewId="0">
      <pane ySplit="5" topLeftCell="A6" activePane="bottomLeft" state="frozen"/>
      <selection activeCell="Q1" sqref="Q1"/>
      <selection pane="bottomLeft" activeCell="U1" sqref="U1"/>
    </sheetView>
  </sheetViews>
  <sheetFormatPr defaultColWidth="10.7109375" defaultRowHeight="12"/>
  <cols>
    <col min="1" max="2" width="4.7109375" style="4" customWidth="1"/>
    <col min="3" max="3" width="5.7109375" style="4" customWidth="1"/>
    <col min="4" max="4" width="2.5703125" style="4" customWidth="1"/>
    <col min="5" max="5" width="9.5703125" style="4" bestFit="1" customWidth="1"/>
    <col min="6" max="6" width="10.140625" style="4" bestFit="1" customWidth="1"/>
    <col min="7" max="7" width="10.7109375" style="81" customWidth="1"/>
    <col min="8" max="8" width="8.7109375" style="4" customWidth="1"/>
    <col min="9" max="9" width="9.7109375" style="4" customWidth="1"/>
    <col min="10" max="10" width="9.7109375" style="81" customWidth="1"/>
    <col min="11" max="11" width="8.7109375" style="82" customWidth="1"/>
    <col min="12" max="13" width="9.7109375" style="4" customWidth="1"/>
    <col min="14" max="14" width="8.7109375" style="82" customWidth="1"/>
    <col min="15" max="15" width="9.7109375" style="4" customWidth="1"/>
    <col min="16" max="16" width="9.5703125" style="4" customWidth="1"/>
    <col min="17" max="17" width="8.7109375" style="82" customWidth="1"/>
    <col min="18" max="19" width="9.7109375" style="4" customWidth="1"/>
    <col min="20" max="20" width="8.7109375" style="82" customWidth="1"/>
    <col min="21" max="22" width="9.7109375" style="4" customWidth="1"/>
    <col min="23" max="23" width="11" style="4" customWidth="1"/>
    <col min="24" max="24" width="10.7109375" style="4" customWidth="1"/>
    <col min="25" max="16384" width="10.7109375" style="4"/>
  </cols>
  <sheetData>
    <row r="1" spans="1:20" ht="16.5" customHeight="1">
      <c r="A1" s="55"/>
      <c r="B1" s="56" t="s">
        <v>45</v>
      </c>
      <c r="C1" s="54"/>
      <c r="D1" s="54"/>
      <c r="E1" s="54"/>
      <c r="F1" s="57"/>
      <c r="G1" s="58"/>
      <c r="H1" s="54"/>
      <c r="I1" s="54"/>
      <c r="J1" s="58"/>
      <c r="K1" s="54"/>
      <c r="L1" s="3"/>
      <c r="M1" s="59"/>
      <c r="N1" s="54"/>
      <c r="O1" s="54"/>
      <c r="P1" s="59"/>
      <c r="Q1" s="54"/>
      <c r="R1" s="54"/>
      <c r="T1" s="4"/>
    </row>
    <row r="2" spans="1:20" ht="12.95" customHeight="1">
      <c r="A2" s="55"/>
      <c r="B2" s="60"/>
      <c r="C2" s="54"/>
      <c r="D2" s="54"/>
      <c r="E2" s="54"/>
      <c r="F2" s="57"/>
      <c r="G2" s="58"/>
      <c r="H2" s="54"/>
      <c r="I2" s="54"/>
      <c r="J2" s="58"/>
      <c r="K2" s="54"/>
      <c r="L2" s="3"/>
      <c r="M2" s="59"/>
      <c r="N2" s="54"/>
      <c r="O2" s="54"/>
      <c r="P2" s="59"/>
      <c r="Q2" s="61"/>
      <c r="R2" s="62"/>
      <c r="T2" s="4"/>
    </row>
    <row r="3" spans="1:20">
      <c r="B3" s="5" t="s">
        <v>46</v>
      </c>
      <c r="C3" s="6"/>
      <c r="D3" s="6"/>
      <c r="E3" s="6"/>
      <c r="F3" s="7" t="s">
        <v>47</v>
      </c>
      <c r="G3" s="251" t="str">
        <f>IF(入力!Q2="","",入力!Q2)</f>
        <v>路床盛土
(W＜2.5m)</v>
      </c>
      <c r="H3" s="247"/>
      <c r="I3" s="248"/>
      <c r="J3" s="246" t="str">
        <f>IF(入力!R2="","",入力!R2)</f>
        <v>路床盛土
(2.5m≦W＜4.0m)</v>
      </c>
      <c r="K3" s="247"/>
      <c r="L3" s="248"/>
      <c r="M3" s="251" t="str">
        <f>IF(入力!S2="","",入力!S2)</f>
        <v>路床盛土
(4.0m≦W)</v>
      </c>
      <c r="N3" s="247"/>
      <c r="O3" s="248"/>
      <c r="P3" s="249"/>
      <c r="Q3" s="247"/>
      <c r="R3" s="250"/>
      <c r="S3" s="8"/>
      <c r="T3" s="4"/>
    </row>
    <row r="4" spans="1:20">
      <c r="B4" s="8"/>
      <c r="E4" s="9"/>
      <c r="F4" s="10"/>
      <c r="G4" s="41" t="s">
        <v>48</v>
      </c>
      <c r="H4" s="63" t="s">
        <v>49</v>
      </c>
      <c r="I4" s="12" t="s">
        <v>50</v>
      </c>
      <c r="J4" s="41" t="s">
        <v>48</v>
      </c>
      <c r="K4" s="63" t="s">
        <v>49</v>
      </c>
      <c r="L4" s="12" t="s">
        <v>50</v>
      </c>
      <c r="M4" s="11" t="s">
        <v>48</v>
      </c>
      <c r="N4" s="63" t="s">
        <v>49</v>
      </c>
      <c r="O4" s="12" t="s">
        <v>50</v>
      </c>
      <c r="P4" s="13" t="s">
        <v>48</v>
      </c>
      <c r="Q4" s="64" t="s">
        <v>49</v>
      </c>
      <c r="R4" s="14" t="s">
        <v>50</v>
      </c>
      <c r="S4" s="8"/>
      <c r="T4" s="4"/>
    </row>
    <row r="5" spans="1:20" ht="12.6" customHeight="1" thickBot="1">
      <c r="B5" s="15" t="s">
        <v>51</v>
      </c>
      <c r="C5" s="16"/>
      <c r="D5" s="16"/>
      <c r="E5" s="65">
        <f>入力!E4</f>
        <v>20</v>
      </c>
      <c r="F5" s="17" t="s">
        <v>52</v>
      </c>
      <c r="G5" s="42" t="s">
        <v>53</v>
      </c>
      <c r="H5" s="38" t="s">
        <v>53</v>
      </c>
      <c r="I5" s="38" t="s">
        <v>54</v>
      </c>
      <c r="J5" s="42" t="s">
        <v>53</v>
      </c>
      <c r="K5" s="38" t="s">
        <v>53</v>
      </c>
      <c r="L5" s="38" t="s">
        <v>54</v>
      </c>
      <c r="M5" s="18" t="s">
        <v>53</v>
      </c>
      <c r="N5" s="38" t="s">
        <v>53</v>
      </c>
      <c r="O5" s="38" t="s">
        <v>54</v>
      </c>
      <c r="P5" s="19" t="s">
        <v>53</v>
      </c>
      <c r="Q5" s="38" t="s">
        <v>53</v>
      </c>
      <c r="R5" s="39" t="s">
        <v>54</v>
      </c>
      <c r="S5" s="8"/>
      <c r="T5" s="4"/>
    </row>
    <row r="6" spans="1:20" ht="12.6" customHeight="1" thickTop="1">
      <c r="A6" s="4">
        <v>1</v>
      </c>
      <c r="B6" s="51" t="s">
        <v>55</v>
      </c>
      <c r="C6" s="66">
        <f>入力!C5</f>
        <v>0</v>
      </c>
      <c r="D6" s="52" t="s">
        <v>56</v>
      </c>
      <c r="E6" s="67">
        <f>入力!E5</f>
        <v>0</v>
      </c>
      <c r="F6" s="20"/>
      <c r="G6" s="68">
        <f>入力!Q5</f>
        <v>0</v>
      </c>
      <c r="H6" s="21"/>
      <c r="I6" s="22"/>
      <c r="J6" s="43">
        <f>入力!R5</f>
        <v>0</v>
      </c>
      <c r="K6" s="21"/>
      <c r="L6" s="22"/>
      <c r="M6" s="43">
        <f>入力!S5</f>
        <v>0</v>
      </c>
      <c r="N6" s="21"/>
      <c r="O6" s="22"/>
      <c r="P6" s="43"/>
      <c r="Q6" s="21"/>
      <c r="R6" s="23"/>
      <c r="S6" s="8"/>
      <c r="T6" s="4"/>
    </row>
    <row r="7" spans="1:20">
      <c r="A7" s="4">
        <v>2</v>
      </c>
      <c r="B7" s="32" t="s">
        <v>55</v>
      </c>
      <c r="C7" s="69">
        <f>入力!C6</f>
        <v>0</v>
      </c>
      <c r="D7" s="37" t="s">
        <v>56</v>
      </c>
      <c r="E7" s="70">
        <f>入力!E6</f>
        <v>0</v>
      </c>
      <c r="F7" s="24">
        <f t="shared" ref="F7:F30" si="0">IF(ISBLANK(C7),"",(C7-C6)*$E$5+(E7-E6))</f>
        <v>0</v>
      </c>
      <c r="G7" s="71">
        <f>入力!Q6</f>
        <v>0</v>
      </c>
      <c r="H7" s="25">
        <f t="shared" ref="H7:H30" si="1">IF(ISBLANK($C7),"",(G6+G7)/2)</f>
        <v>0</v>
      </c>
      <c r="I7" s="26">
        <f t="shared" ref="I7:I30" si="2">ROUND(IF(ISBLANK($C7),"",$F7*H7),1)</f>
        <v>0</v>
      </c>
      <c r="J7" s="43">
        <f>入力!R6</f>
        <v>0</v>
      </c>
      <c r="K7" s="25">
        <f t="shared" ref="K7:K30" si="3">IF(ISBLANK($C7),"",(J6+J7)/2)</f>
        <v>0</v>
      </c>
      <c r="L7" s="26">
        <f t="shared" ref="L7:L30" si="4">ROUND(IF(ISBLANK($C7),"",$F7*K7),1)</f>
        <v>0</v>
      </c>
      <c r="M7" s="43">
        <f>入力!S6</f>
        <v>0</v>
      </c>
      <c r="N7" s="25">
        <f t="shared" ref="N7:N30" si="5">IF(ISBLANK($C7),"",(M6+M7)/2)</f>
        <v>0</v>
      </c>
      <c r="O7" s="26">
        <f t="shared" ref="O7:O30" si="6">ROUND(IF(ISBLANK($C7),"",$F7*N7),1)</f>
        <v>0</v>
      </c>
      <c r="P7" s="43"/>
      <c r="Q7" s="25"/>
      <c r="R7" s="23"/>
      <c r="S7" s="8"/>
      <c r="T7" s="4"/>
    </row>
    <row r="8" spans="1:20" s="27" customFormat="1">
      <c r="A8" s="4">
        <v>3</v>
      </c>
      <c r="B8" s="32" t="s">
        <v>55</v>
      </c>
      <c r="C8" s="69">
        <f>入力!C7</f>
        <v>0</v>
      </c>
      <c r="D8" s="37" t="s">
        <v>56</v>
      </c>
      <c r="E8" s="70">
        <f>入力!E7</f>
        <v>0</v>
      </c>
      <c r="F8" s="24">
        <f t="shared" si="0"/>
        <v>0</v>
      </c>
      <c r="G8" s="71">
        <f>入力!Q7</f>
        <v>0</v>
      </c>
      <c r="H8" s="25">
        <f t="shared" si="1"/>
        <v>0</v>
      </c>
      <c r="I8" s="26">
        <f t="shared" si="2"/>
        <v>0</v>
      </c>
      <c r="J8" s="43">
        <f>入力!R7</f>
        <v>0</v>
      </c>
      <c r="K8" s="25">
        <f t="shared" si="3"/>
        <v>0</v>
      </c>
      <c r="L8" s="26">
        <f t="shared" si="4"/>
        <v>0</v>
      </c>
      <c r="M8" s="43">
        <f>入力!S7</f>
        <v>0</v>
      </c>
      <c r="N8" s="25">
        <f t="shared" si="5"/>
        <v>0</v>
      </c>
      <c r="O8" s="26">
        <f t="shared" si="6"/>
        <v>0</v>
      </c>
      <c r="P8" s="43"/>
      <c r="Q8" s="25"/>
      <c r="R8" s="23"/>
      <c r="S8" s="72"/>
    </row>
    <row r="9" spans="1:20" s="27" customFormat="1">
      <c r="A9" s="4">
        <v>4</v>
      </c>
      <c r="B9" s="32" t="s">
        <v>55</v>
      </c>
      <c r="C9" s="69">
        <f>入力!C8</f>
        <v>0</v>
      </c>
      <c r="D9" s="37" t="s">
        <v>56</v>
      </c>
      <c r="E9" s="70">
        <f>入力!E8</f>
        <v>0</v>
      </c>
      <c r="F9" s="24">
        <f t="shared" si="0"/>
        <v>0</v>
      </c>
      <c r="G9" s="71">
        <f>入力!Q8</f>
        <v>0</v>
      </c>
      <c r="H9" s="25">
        <f t="shared" si="1"/>
        <v>0</v>
      </c>
      <c r="I9" s="26">
        <f t="shared" si="2"/>
        <v>0</v>
      </c>
      <c r="J9" s="43">
        <f>入力!R8</f>
        <v>0</v>
      </c>
      <c r="K9" s="25">
        <f t="shared" si="3"/>
        <v>0</v>
      </c>
      <c r="L9" s="26">
        <f t="shared" si="4"/>
        <v>0</v>
      </c>
      <c r="M9" s="43">
        <f>入力!S8</f>
        <v>0</v>
      </c>
      <c r="N9" s="25">
        <f t="shared" si="5"/>
        <v>0</v>
      </c>
      <c r="O9" s="26">
        <f t="shared" si="6"/>
        <v>0</v>
      </c>
      <c r="P9" s="43"/>
      <c r="Q9" s="25"/>
      <c r="R9" s="23"/>
      <c r="S9" s="72"/>
    </row>
    <row r="10" spans="1:20">
      <c r="A10" s="4">
        <v>5</v>
      </c>
      <c r="B10" s="32" t="s">
        <v>55</v>
      </c>
      <c r="C10" s="69">
        <f>入力!C9</f>
        <v>0</v>
      </c>
      <c r="D10" s="37" t="s">
        <v>56</v>
      </c>
      <c r="E10" s="70">
        <f>入力!E9</f>
        <v>0</v>
      </c>
      <c r="F10" s="24">
        <f t="shared" si="0"/>
        <v>0</v>
      </c>
      <c r="G10" s="71">
        <f>入力!Q9</f>
        <v>0</v>
      </c>
      <c r="H10" s="25">
        <f t="shared" si="1"/>
        <v>0</v>
      </c>
      <c r="I10" s="26">
        <f t="shared" si="2"/>
        <v>0</v>
      </c>
      <c r="J10" s="43">
        <f>入力!R9</f>
        <v>0</v>
      </c>
      <c r="K10" s="25">
        <f t="shared" si="3"/>
        <v>0</v>
      </c>
      <c r="L10" s="26">
        <f t="shared" si="4"/>
        <v>0</v>
      </c>
      <c r="M10" s="43">
        <f>入力!S9</f>
        <v>0</v>
      </c>
      <c r="N10" s="25">
        <f t="shared" si="5"/>
        <v>0</v>
      </c>
      <c r="O10" s="26">
        <f t="shared" si="6"/>
        <v>0</v>
      </c>
      <c r="P10" s="43"/>
      <c r="Q10" s="25"/>
      <c r="R10" s="23"/>
      <c r="S10" s="8"/>
      <c r="T10" s="4"/>
    </row>
    <row r="11" spans="1:20">
      <c r="A11" s="4">
        <v>6</v>
      </c>
      <c r="B11" s="32" t="s">
        <v>55</v>
      </c>
      <c r="C11" s="69">
        <f>入力!C10</f>
        <v>0</v>
      </c>
      <c r="D11" s="37" t="s">
        <v>56</v>
      </c>
      <c r="E11" s="70">
        <f>入力!E10</f>
        <v>0</v>
      </c>
      <c r="F11" s="24">
        <f t="shared" si="0"/>
        <v>0</v>
      </c>
      <c r="G11" s="71">
        <f>入力!Q10</f>
        <v>0</v>
      </c>
      <c r="H11" s="25">
        <f t="shared" si="1"/>
        <v>0</v>
      </c>
      <c r="I11" s="26">
        <f t="shared" si="2"/>
        <v>0</v>
      </c>
      <c r="J11" s="43">
        <f>入力!R10</f>
        <v>0</v>
      </c>
      <c r="K11" s="25">
        <f t="shared" si="3"/>
        <v>0</v>
      </c>
      <c r="L11" s="26">
        <f t="shared" si="4"/>
        <v>0</v>
      </c>
      <c r="M11" s="43">
        <f>入力!S10</f>
        <v>0</v>
      </c>
      <c r="N11" s="25">
        <f t="shared" si="5"/>
        <v>0</v>
      </c>
      <c r="O11" s="26">
        <f t="shared" si="6"/>
        <v>0</v>
      </c>
      <c r="P11" s="43"/>
      <c r="Q11" s="25"/>
      <c r="R11" s="23"/>
      <c r="S11" s="8"/>
      <c r="T11" s="4"/>
    </row>
    <row r="12" spans="1:20" s="27" customFormat="1">
      <c r="A12" s="4">
        <v>7</v>
      </c>
      <c r="B12" s="32" t="s">
        <v>55</v>
      </c>
      <c r="C12" s="69">
        <f>入力!C11</f>
        <v>0</v>
      </c>
      <c r="D12" s="37" t="s">
        <v>56</v>
      </c>
      <c r="E12" s="70">
        <f>入力!E11</f>
        <v>0</v>
      </c>
      <c r="F12" s="24">
        <f t="shared" si="0"/>
        <v>0</v>
      </c>
      <c r="G12" s="71">
        <f>入力!Q11</f>
        <v>0</v>
      </c>
      <c r="H12" s="25">
        <f t="shared" si="1"/>
        <v>0</v>
      </c>
      <c r="I12" s="26">
        <f t="shared" si="2"/>
        <v>0</v>
      </c>
      <c r="J12" s="43">
        <f>入力!R11</f>
        <v>0</v>
      </c>
      <c r="K12" s="25">
        <f t="shared" si="3"/>
        <v>0</v>
      </c>
      <c r="L12" s="26">
        <f t="shared" si="4"/>
        <v>0</v>
      </c>
      <c r="M12" s="43">
        <f>入力!S11</f>
        <v>0</v>
      </c>
      <c r="N12" s="25">
        <f t="shared" si="5"/>
        <v>0</v>
      </c>
      <c r="O12" s="26">
        <f t="shared" si="6"/>
        <v>0</v>
      </c>
      <c r="P12" s="43"/>
      <c r="Q12" s="25"/>
      <c r="R12" s="23"/>
      <c r="S12" s="72"/>
    </row>
    <row r="13" spans="1:20" s="27" customFormat="1">
      <c r="A13" s="4">
        <v>8</v>
      </c>
      <c r="B13" s="32" t="s">
        <v>55</v>
      </c>
      <c r="C13" s="69">
        <f>入力!C12</f>
        <v>0</v>
      </c>
      <c r="D13" s="37" t="s">
        <v>56</v>
      </c>
      <c r="E13" s="70">
        <f>入力!E12</f>
        <v>0</v>
      </c>
      <c r="F13" s="24">
        <f t="shared" si="0"/>
        <v>0</v>
      </c>
      <c r="G13" s="71">
        <f>入力!Q12</f>
        <v>0</v>
      </c>
      <c r="H13" s="25">
        <f t="shared" si="1"/>
        <v>0</v>
      </c>
      <c r="I13" s="26">
        <f t="shared" si="2"/>
        <v>0</v>
      </c>
      <c r="J13" s="43">
        <f>入力!R12</f>
        <v>0</v>
      </c>
      <c r="K13" s="25">
        <f t="shared" si="3"/>
        <v>0</v>
      </c>
      <c r="L13" s="26">
        <f t="shared" si="4"/>
        <v>0</v>
      </c>
      <c r="M13" s="43">
        <f>入力!S12</f>
        <v>0</v>
      </c>
      <c r="N13" s="25">
        <f t="shared" si="5"/>
        <v>0</v>
      </c>
      <c r="O13" s="26">
        <f t="shared" si="6"/>
        <v>0</v>
      </c>
      <c r="P13" s="43"/>
      <c r="Q13" s="25"/>
      <c r="R13" s="23"/>
      <c r="S13" s="72"/>
    </row>
    <row r="14" spans="1:20">
      <c r="A14" s="4">
        <v>9</v>
      </c>
      <c r="B14" s="32" t="s">
        <v>55</v>
      </c>
      <c r="C14" s="69">
        <f>入力!C13</f>
        <v>0</v>
      </c>
      <c r="D14" s="37" t="s">
        <v>56</v>
      </c>
      <c r="E14" s="70">
        <f>入力!E13</f>
        <v>0</v>
      </c>
      <c r="F14" s="24">
        <f t="shared" si="0"/>
        <v>0</v>
      </c>
      <c r="G14" s="71">
        <f>入力!Q13</f>
        <v>0</v>
      </c>
      <c r="H14" s="25">
        <f t="shared" si="1"/>
        <v>0</v>
      </c>
      <c r="I14" s="26">
        <f t="shared" si="2"/>
        <v>0</v>
      </c>
      <c r="J14" s="43">
        <f>入力!R13</f>
        <v>0</v>
      </c>
      <c r="K14" s="25">
        <f t="shared" si="3"/>
        <v>0</v>
      </c>
      <c r="L14" s="26">
        <f t="shared" si="4"/>
        <v>0</v>
      </c>
      <c r="M14" s="43">
        <f>入力!S13</f>
        <v>0</v>
      </c>
      <c r="N14" s="25">
        <f t="shared" si="5"/>
        <v>0</v>
      </c>
      <c r="O14" s="26">
        <f t="shared" si="6"/>
        <v>0</v>
      </c>
      <c r="P14" s="43"/>
      <c r="Q14" s="25"/>
      <c r="R14" s="23"/>
      <c r="S14" s="8"/>
      <c r="T14" s="4"/>
    </row>
    <row r="15" spans="1:20">
      <c r="A15" s="4">
        <v>10</v>
      </c>
      <c r="B15" s="32" t="s">
        <v>55</v>
      </c>
      <c r="C15" s="69">
        <f>入力!C14</f>
        <v>0</v>
      </c>
      <c r="D15" s="37" t="s">
        <v>56</v>
      </c>
      <c r="E15" s="70">
        <f>入力!E14</f>
        <v>0</v>
      </c>
      <c r="F15" s="24">
        <f t="shared" si="0"/>
        <v>0</v>
      </c>
      <c r="G15" s="71">
        <f>入力!Q14</f>
        <v>0</v>
      </c>
      <c r="H15" s="25">
        <f t="shared" si="1"/>
        <v>0</v>
      </c>
      <c r="I15" s="26">
        <f t="shared" si="2"/>
        <v>0</v>
      </c>
      <c r="J15" s="43">
        <f>入力!R14</f>
        <v>0</v>
      </c>
      <c r="K15" s="25">
        <f t="shared" si="3"/>
        <v>0</v>
      </c>
      <c r="L15" s="26">
        <f t="shared" si="4"/>
        <v>0</v>
      </c>
      <c r="M15" s="43">
        <f>入力!S14</f>
        <v>0</v>
      </c>
      <c r="N15" s="25">
        <f t="shared" si="5"/>
        <v>0</v>
      </c>
      <c r="O15" s="26">
        <f t="shared" si="6"/>
        <v>0</v>
      </c>
      <c r="P15" s="43"/>
      <c r="Q15" s="25"/>
      <c r="R15" s="23"/>
      <c r="S15" s="8"/>
      <c r="T15" s="4"/>
    </row>
    <row r="16" spans="1:20">
      <c r="A16" s="4">
        <v>11</v>
      </c>
      <c r="B16" s="32" t="s">
        <v>55</v>
      </c>
      <c r="C16" s="69">
        <f>入力!C15</f>
        <v>0</v>
      </c>
      <c r="D16" s="37" t="s">
        <v>56</v>
      </c>
      <c r="E16" s="70">
        <f>入力!E15</f>
        <v>0</v>
      </c>
      <c r="F16" s="24">
        <f t="shared" si="0"/>
        <v>0</v>
      </c>
      <c r="G16" s="71">
        <f>入力!Q15</f>
        <v>0</v>
      </c>
      <c r="H16" s="25">
        <f t="shared" si="1"/>
        <v>0</v>
      </c>
      <c r="I16" s="26">
        <f t="shared" si="2"/>
        <v>0</v>
      </c>
      <c r="J16" s="43">
        <f>入力!R15</f>
        <v>0</v>
      </c>
      <c r="K16" s="25">
        <f t="shared" si="3"/>
        <v>0</v>
      </c>
      <c r="L16" s="26">
        <f t="shared" si="4"/>
        <v>0</v>
      </c>
      <c r="M16" s="43">
        <f>入力!S15</f>
        <v>0</v>
      </c>
      <c r="N16" s="25">
        <f t="shared" si="5"/>
        <v>0</v>
      </c>
      <c r="O16" s="26">
        <f t="shared" si="6"/>
        <v>0</v>
      </c>
      <c r="P16" s="43"/>
      <c r="Q16" s="25"/>
      <c r="R16" s="23"/>
      <c r="S16" s="8"/>
      <c r="T16" s="4"/>
    </row>
    <row r="17" spans="1:20" s="27" customFormat="1">
      <c r="A17" s="4">
        <v>12</v>
      </c>
      <c r="B17" s="32" t="s">
        <v>55</v>
      </c>
      <c r="C17" s="69">
        <f>入力!C16</f>
        <v>0</v>
      </c>
      <c r="D17" s="37" t="s">
        <v>56</v>
      </c>
      <c r="E17" s="70">
        <f>入力!E16</f>
        <v>0</v>
      </c>
      <c r="F17" s="24">
        <f t="shared" si="0"/>
        <v>0</v>
      </c>
      <c r="G17" s="71">
        <f>入力!Q16</f>
        <v>0</v>
      </c>
      <c r="H17" s="25">
        <f t="shared" si="1"/>
        <v>0</v>
      </c>
      <c r="I17" s="26">
        <f t="shared" si="2"/>
        <v>0</v>
      </c>
      <c r="J17" s="43">
        <f>入力!R16</f>
        <v>0</v>
      </c>
      <c r="K17" s="25">
        <f t="shared" si="3"/>
        <v>0</v>
      </c>
      <c r="L17" s="26">
        <f t="shared" si="4"/>
        <v>0</v>
      </c>
      <c r="M17" s="43">
        <f>入力!S16</f>
        <v>0</v>
      </c>
      <c r="N17" s="25">
        <f t="shared" si="5"/>
        <v>0</v>
      </c>
      <c r="O17" s="26">
        <f t="shared" si="6"/>
        <v>0</v>
      </c>
      <c r="P17" s="43"/>
      <c r="Q17" s="25"/>
      <c r="R17" s="23"/>
      <c r="S17" s="72"/>
    </row>
    <row r="18" spans="1:20">
      <c r="A18" s="4">
        <v>13</v>
      </c>
      <c r="B18" s="32" t="s">
        <v>55</v>
      </c>
      <c r="C18" s="69">
        <f>入力!C17</f>
        <v>0</v>
      </c>
      <c r="D18" s="37" t="s">
        <v>56</v>
      </c>
      <c r="E18" s="70">
        <f>入力!E17</f>
        <v>0</v>
      </c>
      <c r="F18" s="24">
        <f t="shared" si="0"/>
        <v>0</v>
      </c>
      <c r="G18" s="71">
        <f>入力!Q17</f>
        <v>0</v>
      </c>
      <c r="H18" s="25">
        <f t="shared" si="1"/>
        <v>0</v>
      </c>
      <c r="I18" s="26">
        <f t="shared" si="2"/>
        <v>0</v>
      </c>
      <c r="J18" s="43">
        <f>入力!R17</f>
        <v>0</v>
      </c>
      <c r="K18" s="25">
        <f t="shared" si="3"/>
        <v>0</v>
      </c>
      <c r="L18" s="26">
        <f t="shared" si="4"/>
        <v>0</v>
      </c>
      <c r="M18" s="43">
        <f>入力!S17</f>
        <v>0</v>
      </c>
      <c r="N18" s="25">
        <f t="shared" si="5"/>
        <v>0</v>
      </c>
      <c r="O18" s="26">
        <f t="shared" si="6"/>
        <v>0</v>
      </c>
      <c r="P18" s="43"/>
      <c r="Q18" s="25"/>
      <c r="R18" s="23"/>
      <c r="S18" s="8"/>
      <c r="T18" s="4"/>
    </row>
    <row r="19" spans="1:20">
      <c r="A19" s="4">
        <v>14</v>
      </c>
      <c r="B19" s="32" t="s">
        <v>55</v>
      </c>
      <c r="C19" s="69">
        <f>入力!C18</f>
        <v>0</v>
      </c>
      <c r="D19" s="37" t="s">
        <v>56</v>
      </c>
      <c r="E19" s="70">
        <f>入力!E18</f>
        <v>0</v>
      </c>
      <c r="F19" s="24">
        <f t="shared" si="0"/>
        <v>0</v>
      </c>
      <c r="G19" s="71">
        <f>入力!Q18</f>
        <v>0</v>
      </c>
      <c r="H19" s="25">
        <f t="shared" si="1"/>
        <v>0</v>
      </c>
      <c r="I19" s="26">
        <f t="shared" si="2"/>
        <v>0</v>
      </c>
      <c r="J19" s="43">
        <f>入力!R18</f>
        <v>0</v>
      </c>
      <c r="K19" s="25">
        <f t="shared" si="3"/>
        <v>0</v>
      </c>
      <c r="L19" s="26">
        <f t="shared" si="4"/>
        <v>0</v>
      </c>
      <c r="M19" s="43">
        <f>入力!S18</f>
        <v>0</v>
      </c>
      <c r="N19" s="25">
        <f t="shared" si="5"/>
        <v>0</v>
      </c>
      <c r="O19" s="26">
        <f t="shared" si="6"/>
        <v>0</v>
      </c>
      <c r="P19" s="43"/>
      <c r="Q19" s="25"/>
      <c r="R19" s="23"/>
      <c r="S19" s="8"/>
      <c r="T19" s="4"/>
    </row>
    <row r="20" spans="1:20">
      <c r="A20" s="4">
        <v>15</v>
      </c>
      <c r="B20" s="32" t="s">
        <v>55</v>
      </c>
      <c r="C20" s="69">
        <f>入力!C19</f>
        <v>0</v>
      </c>
      <c r="D20" s="37" t="s">
        <v>56</v>
      </c>
      <c r="E20" s="70">
        <f>入力!E19</f>
        <v>0</v>
      </c>
      <c r="F20" s="24">
        <f t="shared" si="0"/>
        <v>0</v>
      </c>
      <c r="G20" s="71">
        <f>入力!Q19</f>
        <v>0</v>
      </c>
      <c r="H20" s="25">
        <f t="shared" si="1"/>
        <v>0</v>
      </c>
      <c r="I20" s="26">
        <f t="shared" si="2"/>
        <v>0</v>
      </c>
      <c r="J20" s="43">
        <f>入力!R19</f>
        <v>0</v>
      </c>
      <c r="K20" s="25">
        <f t="shared" si="3"/>
        <v>0</v>
      </c>
      <c r="L20" s="26">
        <f t="shared" si="4"/>
        <v>0</v>
      </c>
      <c r="M20" s="43">
        <f>入力!S19</f>
        <v>0</v>
      </c>
      <c r="N20" s="25">
        <f t="shared" si="5"/>
        <v>0</v>
      </c>
      <c r="O20" s="26">
        <f t="shared" si="6"/>
        <v>0</v>
      </c>
      <c r="P20" s="43"/>
      <c r="Q20" s="25"/>
      <c r="R20" s="23"/>
      <c r="S20" s="8"/>
      <c r="T20" s="4"/>
    </row>
    <row r="21" spans="1:20">
      <c r="A21" s="4">
        <v>16</v>
      </c>
      <c r="B21" s="32" t="s">
        <v>55</v>
      </c>
      <c r="C21" s="69">
        <f>入力!C20</f>
        <v>0</v>
      </c>
      <c r="D21" s="37" t="s">
        <v>56</v>
      </c>
      <c r="E21" s="70">
        <f>入力!E20</f>
        <v>0</v>
      </c>
      <c r="F21" s="24">
        <f t="shared" si="0"/>
        <v>0</v>
      </c>
      <c r="G21" s="71">
        <f>入力!Q20</f>
        <v>0</v>
      </c>
      <c r="H21" s="25">
        <f t="shared" si="1"/>
        <v>0</v>
      </c>
      <c r="I21" s="26">
        <f t="shared" si="2"/>
        <v>0</v>
      </c>
      <c r="J21" s="43">
        <f>入力!R20</f>
        <v>0</v>
      </c>
      <c r="K21" s="25">
        <f t="shared" si="3"/>
        <v>0</v>
      </c>
      <c r="L21" s="26">
        <f t="shared" si="4"/>
        <v>0</v>
      </c>
      <c r="M21" s="43">
        <f>入力!S20</f>
        <v>0</v>
      </c>
      <c r="N21" s="25">
        <f t="shared" si="5"/>
        <v>0</v>
      </c>
      <c r="O21" s="26">
        <f t="shared" si="6"/>
        <v>0</v>
      </c>
      <c r="P21" s="43"/>
      <c r="Q21" s="25"/>
      <c r="R21" s="23"/>
      <c r="S21" s="8"/>
      <c r="T21" s="4"/>
    </row>
    <row r="22" spans="1:20">
      <c r="A22" s="4">
        <v>17</v>
      </c>
      <c r="B22" s="32" t="s">
        <v>55</v>
      </c>
      <c r="C22" s="69">
        <f>入力!C21</f>
        <v>0</v>
      </c>
      <c r="D22" s="37" t="s">
        <v>56</v>
      </c>
      <c r="E22" s="70">
        <f>入力!E21</f>
        <v>0</v>
      </c>
      <c r="F22" s="24">
        <f t="shared" si="0"/>
        <v>0</v>
      </c>
      <c r="G22" s="71">
        <f>入力!Q21</f>
        <v>0</v>
      </c>
      <c r="H22" s="25">
        <f t="shared" si="1"/>
        <v>0</v>
      </c>
      <c r="I22" s="26">
        <f t="shared" si="2"/>
        <v>0</v>
      </c>
      <c r="J22" s="43">
        <f>入力!R21</f>
        <v>0</v>
      </c>
      <c r="K22" s="25">
        <f t="shared" si="3"/>
        <v>0</v>
      </c>
      <c r="L22" s="26">
        <f t="shared" si="4"/>
        <v>0</v>
      </c>
      <c r="M22" s="43">
        <f>入力!S21</f>
        <v>0</v>
      </c>
      <c r="N22" s="25">
        <f t="shared" si="5"/>
        <v>0</v>
      </c>
      <c r="O22" s="26">
        <f t="shared" si="6"/>
        <v>0</v>
      </c>
      <c r="P22" s="43"/>
      <c r="Q22" s="25"/>
      <c r="R22" s="23"/>
      <c r="S22" s="8"/>
      <c r="T22" s="4"/>
    </row>
    <row r="23" spans="1:20" s="27" customFormat="1">
      <c r="A23" s="4">
        <v>18</v>
      </c>
      <c r="B23" s="32" t="s">
        <v>55</v>
      </c>
      <c r="C23" s="69">
        <f>入力!C22</f>
        <v>0</v>
      </c>
      <c r="D23" s="37" t="s">
        <v>56</v>
      </c>
      <c r="E23" s="70">
        <f>入力!E22</f>
        <v>0</v>
      </c>
      <c r="F23" s="24">
        <f t="shared" si="0"/>
        <v>0</v>
      </c>
      <c r="G23" s="71">
        <f>入力!Q22</f>
        <v>0</v>
      </c>
      <c r="H23" s="25">
        <f t="shared" si="1"/>
        <v>0</v>
      </c>
      <c r="I23" s="26">
        <f t="shared" si="2"/>
        <v>0</v>
      </c>
      <c r="J23" s="43">
        <f>入力!R22</f>
        <v>0</v>
      </c>
      <c r="K23" s="25">
        <f t="shared" si="3"/>
        <v>0</v>
      </c>
      <c r="L23" s="26">
        <f t="shared" si="4"/>
        <v>0</v>
      </c>
      <c r="M23" s="43">
        <f>入力!S22</f>
        <v>0</v>
      </c>
      <c r="N23" s="25">
        <f t="shared" si="5"/>
        <v>0</v>
      </c>
      <c r="O23" s="26">
        <f t="shared" si="6"/>
        <v>0</v>
      </c>
      <c r="P23" s="43"/>
      <c r="Q23" s="25"/>
      <c r="R23" s="23"/>
      <c r="S23" s="72"/>
    </row>
    <row r="24" spans="1:20">
      <c r="A24" s="4">
        <v>19</v>
      </c>
      <c r="B24" s="32" t="s">
        <v>55</v>
      </c>
      <c r="C24" s="69">
        <f>入力!C23</f>
        <v>0</v>
      </c>
      <c r="D24" s="37" t="s">
        <v>56</v>
      </c>
      <c r="E24" s="70">
        <f>入力!E23</f>
        <v>0</v>
      </c>
      <c r="F24" s="24">
        <f t="shared" si="0"/>
        <v>0</v>
      </c>
      <c r="G24" s="71">
        <f>入力!Q23</f>
        <v>0</v>
      </c>
      <c r="H24" s="25">
        <f t="shared" si="1"/>
        <v>0</v>
      </c>
      <c r="I24" s="26">
        <f t="shared" si="2"/>
        <v>0</v>
      </c>
      <c r="J24" s="43">
        <f>入力!R23</f>
        <v>0</v>
      </c>
      <c r="K24" s="25">
        <f t="shared" si="3"/>
        <v>0</v>
      </c>
      <c r="L24" s="26">
        <f t="shared" si="4"/>
        <v>0</v>
      </c>
      <c r="M24" s="43">
        <f>入力!S23</f>
        <v>0</v>
      </c>
      <c r="N24" s="25">
        <f t="shared" si="5"/>
        <v>0</v>
      </c>
      <c r="O24" s="26">
        <f t="shared" si="6"/>
        <v>0</v>
      </c>
      <c r="P24" s="43"/>
      <c r="Q24" s="25"/>
      <c r="R24" s="23"/>
      <c r="S24" s="8"/>
      <c r="T24" s="73"/>
    </row>
    <row r="25" spans="1:20">
      <c r="A25" s="4">
        <v>20</v>
      </c>
      <c r="B25" s="32" t="s">
        <v>55</v>
      </c>
      <c r="C25" s="69">
        <f>入力!C24</f>
        <v>0</v>
      </c>
      <c r="D25" s="37" t="s">
        <v>56</v>
      </c>
      <c r="E25" s="70">
        <f>入力!E24</f>
        <v>0</v>
      </c>
      <c r="F25" s="24">
        <f t="shared" si="0"/>
        <v>0</v>
      </c>
      <c r="G25" s="71">
        <f>入力!Q24</f>
        <v>0</v>
      </c>
      <c r="H25" s="25">
        <f t="shared" si="1"/>
        <v>0</v>
      </c>
      <c r="I25" s="26">
        <f t="shared" si="2"/>
        <v>0</v>
      </c>
      <c r="J25" s="43">
        <f>入力!R24</f>
        <v>0</v>
      </c>
      <c r="K25" s="25">
        <f t="shared" si="3"/>
        <v>0</v>
      </c>
      <c r="L25" s="26">
        <f t="shared" si="4"/>
        <v>0</v>
      </c>
      <c r="M25" s="43">
        <f>入力!S24</f>
        <v>0</v>
      </c>
      <c r="N25" s="25">
        <f t="shared" si="5"/>
        <v>0</v>
      </c>
      <c r="O25" s="26">
        <f t="shared" si="6"/>
        <v>0</v>
      </c>
      <c r="P25" s="43"/>
      <c r="Q25" s="25"/>
      <c r="R25" s="23"/>
      <c r="S25" s="8"/>
      <c r="T25" s="4"/>
    </row>
    <row r="26" spans="1:20">
      <c r="A26" s="4">
        <v>21</v>
      </c>
      <c r="B26" s="32" t="s">
        <v>55</v>
      </c>
      <c r="C26" s="69">
        <f>入力!C25</f>
        <v>0</v>
      </c>
      <c r="D26" s="37" t="s">
        <v>56</v>
      </c>
      <c r="E26" s="70">
        <f>入力!E25</f>
        <v>0</v>
      </c>
      <c r="F26" s="24">
        <f t="shared" si="0"/>
        <v>0</v>
      </c>
      <c r="G26" s="71">
        <f>入力!Q25</f>
        <v>0</v>
      </c>
      <c r="H26" s="25">
        <f t="shared" si="1"/>
        <v>0</v>
      </c>
      <c r="I26" s="26">
        <f t="shared" si="2"/>
        <v>0</v>
      </c>
      <c r="J26" s="43">
        <f>入力!R25</f>
        <v>0</v>
      </c>
      <c r="K26" s="25">
        <f t="shared" si="3"/>
        <v>0</v>
      </c>
      <c r="L26" s="26">
        <f t="shared" si="4"/>
        <v>0</v>
      </c>
      <c r="M26" s="43">
        <f>入力!S25</f>
        <v>0</v>
      </c>
      <c r="N26" s="25">
        <f t="shared" si="5"/>
        <v>0</v>
      </c>
      <c r="O26" s="26">
        <f t="shared" si="6"/>
        <v>0</v>
      </c>
      <c r="P26" s="43"/>
      <c r="Q26" s="25"/>
      <c r="R26" s="23"/>
      <c r="S26" s="8"/>
      <c r="T26" s="4"/>
    </row>
    <row r="27" spans="1:20" s="27" customFormat="1">
      <c r="A27" s="4">
        <v>22</v>
      </c>
      <c r="B27" s="32" t="s">
        <v>55</v>
      </c>
      <c r="C27" s="69">
        <f>入力!C26</f>
        <v>0</v>
      </c>
      <c r="D27" s="37" t="s">
        <v>56</v>
      </c>
      <c r="E27" s="70">
        <f>入力!E26</f>
        <v>0</v>
      </c>
      <c r="F27" s="24">
        <f t="shared" si="0"/>
        <v>0</v>
      </c>
      <c r="G27" s="71">
        <f>入力!Q26</f>
        <v>0</v>
      </c>
      <c r="H27" s="25">
        <f t="shared" si="1"/>
        <v>0</v>
      </c>
      <c r="I27" s="26">
        <f t="shared" si="2"/>
        <v>0</v>
      </c>
      <c r="J27" s="43">
        <f>入力!R26</f>
        <v>0</v>
      </c>
      <c r="K27" s="25">
        <f t="shared" si="3"/>
        <v>0</v>
      </c>
      <c r="L27" s="26">
        <f t="shared" si="4"/>
        <v>0</v>
      </c>
      <c r="M27" s="43">
        <f>入力!S26</f>
        <v>0</v>
      </c>
      <c r="N27" s="25">
        <f t="shared" si="5"/>
        <v>0</v>
      </c>
      <c r="O27" s="26">
        <f t="shared" si="6"/>
        <v>0</v>
      </c>
      <c r="P27" s="43"/>
      <c r="Q27" s="25"/>
      <c r="R27" s="23"/>
      <c r="S27" s="72"/>
    </row>
    <row r="28" spans="1:20">
      <c r="A28" s="4">
        <v>23</v>
      </c>
      <c r="B28" s="32" t="s">
        <v>55</v>
      </c>
      <c r="C28" s="69">
        <f>入力!C27</f>
        <v>0</v>
      </c>
      <c r="D28" s="37" t="s">
        <v>56</v>
      </c>
      <c r="E28" s="70">
        <f>入力!E27</f>
        <v>0</v>
      </c>
      <c r="F28" s="24">
        <f t="shared" si="0"/>
        <v>0</v>
      </c>
      <c r="G28" s="71">
        <f>入力!Q27</f>
        <v>0</v>
      </c>
      <c r="H28" s="25">
        <f t="shared" si="1"/>
        <v>0</v>
      </c>
      <c r="I28" s="26">
        <f t="shared" si="2"/>
        <v>0</v>
      </c>
      <c r="J28" s="43">
        <f>入力!R27</f>
        <v>0</v>
      </c>
      <c r="K28" s="25">
        <f t="shared" si="3"/>
        <v>0</v>
      </c>
      <c r="L28" s="26">
        <f t="shared" si="4"/>
        <v>0</v>
      </c>
      <c r="M28" s="43">
        <f>入力!S27</f>
        <v>0</v>
      </c>
      <c r="N28" s="25">
        <f t="shared" si="5"/>
        <v>0</v>
      </c>
      <c r="O28" s="26">
        <f t="shared" si="6"/>
        <v>0</v>
      </c>
      <c r="P28" s="43"/>
      <c r="Q28" s="25"/>
      <c r="R28" s="23"/>
      <c r="S28" s="8"/>
      <c r="T28" s="4"/>
    </row>
    <row r="29" spans="1:20">
      <c r="A29" s="4">
        <v>24</v>
      </c>
      <c r="B29" s="32" t="s">
        <v>55</v>
      </c>
      <c r="C29" s="69">
        <f>入力!C28</f>
        <v>0</v>
      </c>
      <c r="D29" s="37" t="s">
        <v>56</v>
      </c>
      <c r="E29" s="70">
        <f>入力!E28</f>
        <v>0</v>
      </c>
      <c r="F29" s="24">
        <f t="shared" si="0"/>
        <v>0</v>
      </c>
      <c r="G29" s="71">
        <f>入力!Q28</f>
        <v>0</v>
      </c>
      <c r="H29" s="25">
        <f t="shared" si="1"/>
        <v>0</v>
      </c>
      <c r="I29" s="26">
        <f t="shared" si="2"/>
        <v>0</v>
      </c>
      <c r="J29" s="43">
        <f>入力!R28</f>
        <v>0</v>
      </c>
      <c r="K29" s="25">
        <f t="shared" si="3"/>
        <v>0</v>
      </c>
      <c r="L29" s="26">
        <f t="shared" si="4"/>
        <v>0</v>
      </c>
      <c r="M29" s="43">
        <f>入力!S28</f>
        <v>0</v>
      </c>
      <c r="N29" s="25">
        <f t="shared" si="5"/>
        <v>0</v>
      </c>
      <c r="O29" s="26">
        <f t="shared" si="6"/>
        <v>0</v>
      </c>
      <c r="P29" s="43"/>
      <c r="Q29" s="25"/>
      <c r="R29" s="23"/>
      <c r="S29" s="8"/>
      <c r="T29" s="4"/>
    </row>
    <row r="30" spans="1:20">
      <c r="A30" s="4">
        <v>25</v>
      </c>
      <c r="B30" s="32" t="s">
        <v>55</v>
      </c>
      <c r="C30" s="69">
        <f>入力!C29</f>
        <v>0</v>
      </c>
      <c r="D30" s="37" t="s">
        <v>56</v>
      </c>
      <c r="E30" s="70">
        <f>入力!E29</f>
        <v>0</v>
      </c>
      <c r="F30" s="24">
        <f t="shared" si="0"/>
        <v>0</v>
      </c>
      <c r="G30" s="71">
        <f>入力!Q29</f>
        <v>0</v>
      </c>
      <c r="H30" s="25">
        <f t="shared" si="1"/>
        <v>0</v>
      </c>
      <c r="I30" s="26">
        <f t="shared" si="2"/>
        <v>0</v>
      </c>
      <c r="J30" s="43">
        <f>入力!R29</f>
        <v>0</v>
      </c>
      <c r="K30" s="25">
        <f t="shared" si="3"/>
        <v>0</v>
      </c>
      <c r="L30" s="26">
        <f t="shared" si="4"/>
        <v>0</v>
      </c>
      <c r="M30" s="43">
        <f>入力!S29</f>
        <v>0</v>
      </c>
      <c r="N30" s="25">
        <f t="shared" si="5"/>
        <v>0</v>
      </c>
      <c r="O30" s="26">
        <f t="shared" si="6"/>
        <v>0</v>
      </c>
      <c r="P30" s="43"/>
      <c r="Q30" s="25"/>
      <c r="R30" s="23"/>
      <c r="S30" s="8"/>
      <c r="T30" s="4"/>
    </row>
    <row r="31" spans="1:20">
      <c r="A31" s="4">
        <v>26</v>
      </c>
      <c r="B31" s="32"/>
      <c r="C31" s="69"/>
      <c r="D31" s="37"/>
      <c r="E31" s="70"/>
      <c r="F31" s="24"/>
      <c r="G31" s="71"/>
      <c r="H31" s="25"/>
      <c r="I31" s="26"/>
      <c r="J31" s="43"/>
      <c r="K31" s="25"/>
      <c r="L31" s="26"/>
      <c r="M31" s="43"/>
      <c r="N31" s="25"/>
      <c r="O31" s="26"/>
      <c r="P31" s="43"/>
      <c r="Q31" s="25"/>
      <c r="R31" s="23"/>
      <c r="S31" s="8"/>
      <c r="T31" s="4"/>
    </row>
    <row r="32" spans="1:20">
      <c r="A32" s="4">
        <v>27</v>
      </c>
      <c r="B32" s="32"/>
      <c r="C32" s="69"/>
      <c r="D32" s="37"/>
      <c r="E32" s="70"/>
      <c r="F32" s="24"/>
      <c r="G32" s="71"/>
      <c r="H32" s="25"/>
      <c r="I32" s="26"/>
      <c r="J32" s="43"/>
      <c r="K32" s="25"/>
      <c r="L32" s="26"/>
      <c r="M32" s="43"/>
      <c r="N32" s="25"/>
      <c r="O32" s="26"/>
      <c r="P32" s="43"/>
      <c r="Q32" s="25"/>
      <c r="R32" s="23"/>
      <c r="S32" s="8"/>
      <c r="T32" s="4"/>
    </row>
    <row r="33" spans="1:20" s="27" customFormat="1">
      <c r="A33" s="4">
        <v>28</v>
      </c>
      <c r="B33" s="32"/>
      <c r="C33" s="69"/>
      <c r="D33" s="37"/>
      <c r="E33" s="70"/>
      <c r="F33" s="24"/>
      <c r="G33" s="71"/>
      <c r="H33" s="25"/>
      <c r="I33" s="26"/>
      <c r="J33" s="43"/>
      <c r="K33" s="25"/>
      <c r="L33" s="26"/>
      <c r="M33" s="43"/>
      <c r="N33" s="25"/>
      <c r="O33" s="26"/>
      <c r="P33" s="43"/>
      <c r="Q33" s="25"/>
      <c r="R33" s="23"/>
      <c r="S33" s="72"/>
    </row>
    <row r="34" spans="1:20">
      <c r="A34" s="4">
        <v>29</v>
      </c>
      <c r="B34" s="32"/>
      <c r="C34" s="69"/>
      <c r="D34" s="37"/>
      <c r="E34" s="70"/>
      <c r="F34" s="24"/>
      <c r="G34" s="71"/>
      <c r="H34" s="25"/>
      <c r="I34" s="26"/>
      <c r="J34" s="43"/>
      <c r="K34" s="25"/>
      <c r="L34" s="26"/>
      <c r="M34" s="43"/>
      <c r="N34" s="25"/>
      <c r="O34" s="26"/>
      <c r="P34" s="43"/>
      <c r="Q34" s="25"/>
      <c r="R34" s="23"/>
      <c r="S34" s="8"/>
      <c r="T34" s="4"/>
    </row>
    <row r="35" spans="1:20">
      <c r="A35" s="4">
        <v>30</v>
      </c>
      <c r="B35" s="32"/>
      <c r="C35" s="69"/>
      <c r="D35" s="37"/>
      <c r="E35" s="70"/>
      <c r="F35" s="24"/>
      <c r="G35" s="71"/>
      <c r="H35" s="25"/>
      <c r="I35" s="26"/>
      <c r="J35" s="43"/>
      <c r="K35" s="25"/>
      <c r="L35" s="26"/>
      <c r="M35" s="43"/>
      <c r="N35" s="25"/>
      <c r="O35" s="26"/>
      <c r="P35" s="43"/>
      <c r="Q35" s="25"/>
      <c r="R35" s="23"/>
      <c r="S35" s="8"/>
      <c r="T35" s="4"/>
    </row>
    <row r="36" spans="1:20">
      <c r="A36" s="4">
        <v>31</v>
      </c>
      <c r="B36" s="32"/>
      <c r="C36" s="69"/>
      <c r="D36" s="37"/>
      <c r="E36" s="70"/>
      <c r="F36" s="24"/>
      <c r="G36" s="71"/>
      <c r="H36" s="25"/>
      <c r="I36" s="26"/>
      <c r="J36" s="43"/>
      <c r="K36" s="25"/>
      <c r="L36" s="26"/>
      <c r="M36" s="43"/>
      <c r="N36" s="25"/>
      <c r="O36" s="26"/>
      <c r="P36" s="43"/>
      <c r="Q36" s="25"/>
      <c r="R36" s="23"/>
      <c r="S36" s="8"/>
      <c r="T36" s="4"/>
    </row>
    <row r="37" spans="1:20">
      <c r="A37" s="4">
        <v>32</v>
      </c>
      <c r="B37" s="32"/>
      <c r="C37" s="69"/>
      <c r="D37" s="37"/>
      <c r="E37" s="70"/>
      <c r="F37" s="24"/>
      <c r="G37" s="71"/>
      <c r="H37" s="25"/>
      <c r="I37" s="26"/>
      <c r="J37" s="43"/>
      <c r="K37" s="25"/>
      <c r="L37" s="26"/>
      <c r="M37" s="43"/>
      <c r="N37" s="25"/>
      <c r="O37" s="26"/>
      <c r="P37" s="43"/>
      <c r="Q37" s="25"/>
      <c r="R37" s="23"/>
      <c r="S37" s="8"/>
      <c r="T37" s="4"/>
    </row>
    <row r="38" spans="1:20">
      <c r="A38" s="4">
        <v>33</v>
      </c>
      <c r="B38" s="32"/>
      <c r="C38" s="69"/>
      <c r="D38" s="37"/>
      <c r="E38" s="70"/>
      <c r="F38" s="24"/>
      <c r="G38" s="71"/>
      <c r="H38" s="25"/>
      <c r="I38" s="26"/>
      <c r="J38" s="43"/>
      <c r="K38" s="25"/>
      <c r="L38" s="26"/>
      <c r="M38" s="43"/>
      <c r="N38" s="25"/>
      <c r="O38" s="26"/>
      <c r="P38" s="43"/>
      <c r="Q38" s="25"/>
      <c r="R38" s="23"/>
      <c r="S38" s="8"/>
      <c r="T38" s="4"/>
    </row>
    <row r="39" spans="1:20">
      <c r="A39" s="4">
        <v>34</v>
      </c>
      <c r="B39" s="32"/>
      <c r="C39" s="69"/>
      <c r="D39" s="37"/>
      <c r="E39" s="70"/>
      <c r="F39" s="24"/>
      <c r="G39" s="71"/>
      <c r="H39" s="25"/>
      <c r="I39" s="26"/>
      <c r="J39" s="43"/>
      <c r="K39" s="25"/>
      <c r="L39" s="26"/>
      <c r="M39" s="43"/>
      <c r="N39" s="25"/>
      <c r="O39" s="26"/>
      <c r="P39" s="43"/>
      <c r="Q39" s="25"/>
      <c r="R39" s="23"/>
      <c r="S39" s="8"/>
      <c r="T39" s="4"/>
    </row>
    <row r="40" spans="1:20" ht="12.6" customHeight="1" thickBot="1">
      <c r="A40" s="4">
        <v>35</v>
      </c>
      <c r="B40" s="32"/>
      <c r="C40" s="69"/>
      <c r="D40" s="37"/>
      <c r="E40" s="70"/>
      <c r="F40" s="24"/>
      <c r="G40" s="71"/>
      <c r="H40" s="25"/>
      <c r="I40" s="26"/>
      <c r="J40" s="43"/>
      <c r="K40" s="25"/>
      <c r="L40" s="26"/>
      <c r="M40" s="43"/>
      <c r="N40" s="25"/>
      <c r="O40" s="26"/>
      <c r="P40" s="43"/>
      <c r="Q40" s="25"/>
      <c r="R40" s="23"/>
      <c r="S40" s="8"/>
      <c r="T40" s="4"/>
    </row>
    <row r="41" spans="1:20" ht="12.6" customHeight="1" thickTop="1">
      <c r="B41" s="74"/>
      <c r="C41" s="75" t="s">
        <v>57</v>
      </c>
      <c r="D41" s="76"/>
      <c r="E41" s="49" t="s">
        <v>58</v>
      </c>
      <c r="F41" s="40" t="str">
        <f>IF(SUM(F6:F40)=0,"",SUM(F6:F40))</f>
        <v/>
      </c>
      <c r="G41" s="46"/>
      <c r="H41" s="33"/>
      <c r="I41" s="40">
        <f>SUM(I7:I40)</f>
        <v>0</v>
      </c>
      <c r="J41" s="77"/>
      <c r="K41" s="33"/>
      <c r="L41" s="40">
        <f>SUM(L7:L40)</f>
        <v>0</v>
      </c>
      <c r="M41" s="48"/>
      <c r="N41" s="33"/>
      <c r="O41" s="40">
        <f>SUM(O7:O40)</f>
        <v>0</v>
      </c>
      <c r="P41" s="48"/>
      <c r="Q41" s="33"/>
      <c r="R41" s="47"/>
      <c r="S41" s="8"/>
      <c r="T41" s="4"/>
    </row>
    <row r="42" spans="1:20">
      <c r="B42" s="78"/>
      <c r="C42" s="79" t="str">
        <f>IF(C40="","合","累")</f>
        <v>合</v>
      </c>
      <c r="D42" s="29"/>
      <c r="E42" s="30" t="s">
        <v>58</v>
      </c>
      <c r="F42" s="1" t="str">
        <f>F41</f>
        <v/>
      </c>
      <c r="G42" s="44"/>
      <c r="H42" s="28"/>
      <c r="I42" s="1">
        <f>I41</f>
        <v>0</v>
      </c>
      <c r="J42" s="45"/>
      <c r="K42" s="28"/>
      <c r="L42" s="1">
        <f>L41</f>
        <v>0</v>
      </c>
      <c r="M42" s="80"/>
      <c r="N42" s="28"/>
      <c r="O42" s="1">
        <f>O41</f>
        <v>0</v>
      </c>
      <c r="P42" s="80"/>
      <c r="Q42" s="28"/>
      <c r="R42" s="2"/>
      <c r="S42" s="8"/>
      <c r="T42" s="4"/>
    </row>
  </sheetData>
  <mergeCells count="4">
    <mergeCell ref="J3:L3"/>
    <mergeCell ref="P3:R3"/>
    <mergeCell ref="G3:I3"/>
    <mergeCell ref="M3:O3"/>
  </mergeCells>
  <phoneticPr fontId="24"/>
  <printOptions horizontalCentered="1" verticalCentered="1" gridLinesSet="0"/>
  <pageMargins left="0.31496062992125978" right="0.19685039370078741" top="1.03" bottom="0.31496062992125978" header="1.19" footer="0.36"/>
  <pageSetup paperSize="9" orientation="landscape" blackAndWhite="1" horizontalDpi="4294967292" verticalDpi="300" r:id="rId1"/>
  <headerFooter alignWithMargins="0">
    <oddHeader>&amp;R&amp;P／&amp;N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syncVertical="1" syncRef="A6" transitionEvaluation="1" transitionEntry="1" codeName="Sheet5"/>
  <dimension ref="A1:T42"/>
  <sheetViews>
    <sheetView showGridLines="0" view="pageBreakPreview" zoomScaleNormal="75" zoomScaleSheetLayoutView="100" workbookViewId="0">
      <pane ySplit="5" topLeftCell="A6" activePane="bottomLeft" state="frozen"/>
      <selection activeCell="Q1" sqref="Q1"/>
      <selection pane="bottomLeft" activeCell="P22" sqref="P22"/>
    </sheetView>
  </sheetViews>
  <sheetFormatPr defaultColWidth="10.7109375" defaultRowHeight="12"/>
  <cols>
    <col min="1" max="2" width="4.7109375" style="4" customWidth="1"/>
    <col min="3" max="3" width="5.7109375" style="4" customWidth="1"/>
    <col min="4" max="4" width="2.5703125" style="4" customWidth="1"/>
    <col min="5" max="5" width="9.5703125" style="4" bestFit="1" customWidth="1"/>
    <col min="6" max="6" width="10.140625" style="4" bestFit="1" customWidth="1"/>
    <col min="7" max="7" width="10.7109375" style="81" customWidth="1"/>
    <col min="8" max="8" width="8.7109375" style="4" customWidth="1"/>
    <col min="9" max="9" width="9.7109375" style="4" customWidth="1"/>
    <col min="10" max="10" width="9.7109375" style="81" customWidth="1"/>
    <col min="11" max="11" width="8.7109375" style="82" customWidth="1"/>
    <col min="12" max="13" width="9.7109375" style="4" customWidth="1"/>
    <col min="14" max="14" width="8.7109375" style="82" customWidth="1"/>
    <col min="15" max="15" width="9.7109375" style="4" customWidth="1"/>
    <col min="16" max="16" width="9.5703125" style="4" customWidth="1"/>
    <col min="17" max="17" width="8.7109375" style="82" customWidth="1"/>
    <col min="18" max="19" width="9.7109375" style="4" customWidth="1"/>
    <col min="20" max="20" width="8.7109375" style="82" customWidth="1"/>
    <col min="21" max="22" width="9.7109375" style="4" customWidth="1"/>
    <col min="23" max="23" width="11" style="4" customWidth="1"/>
    <col min="24" max="24" width="10.7109375" style="4" customWidth="1"/>
    <col min="25" max="16384" width="10.7109375" style="4"/>
  </cols>
  <sheetData>
    <row r="1" spans="1:20" ht="16.5" customHeight="1">
      <c r="A1" s="55"/>
      <c r="B1" s="56" t="s">
        <v>45</v>
      </c>
      <c r="C1" s="54"/>
      <c r="D1" s="54"/>
      <c r="E1" s="54"/>
      <c r="F1" s="57"/>
      <c r="G1" s="58"/>
      <c r="H1" s="54"/>
      <c r="I1" s="54"/>
      <c r="J1" s="58"/>
      <c r="K1" s="54"/>
      <c r="L1" s="3"/>
      <c r="M1" s="59"/>
      <c r="N1" s="54"/>
      <c r="O1" s="54"/>
      <c r="P1" s="59"/>
      <c r="Q1" s="54"/>
      <c r="R1" s="54"/>
      <c r="T1" s="4"/>
    </row>
    <row r="2" spans="1:20" ht="12.95" customHeight="1">
      <c r="A2" s="55"/>
      <c r="B2" s="60"/>
      <c r="C2" s="54"/>
      <c r="D2" s="54"/>
      <c r="E2" s="54"/>
      <c r="F2" s="57"/>
      <c r="G2" s="58"/>
      <c r="H2" s="54"/>
      <c r="I2" s="54"/>
      <c r="J2" s="58"/>
      <c r="K2" s="54"/>
      <c r="L2" s="3"/>
      <c r="M2" s="59"/>
      <c r="N2" s="54"/>
      <c r="O2" s="54"/>
      <c r="P2" s="59"/>
      <c r="Q2" s="61"/>
      <c r="R2" s="62"/>
      <c r="T2" s="4"/>
    </row>
    <row r="3" spans="1:20">
      <c r="B3" s="5" t="s">
        <v>46</v>
      </c>
      <c r="C3" s="6"/>
      <c r="D3" s="6"/>
      <c r="E3" s="6"/>
      <c r="F3" s="7" t="s">
        <v>47</v>
      </c>
      <c r="G3" s="251" t="str">
        <f>入力!U2</f>
        <v>路体外盛土
(W＜2.5m)</v>
      </c>
      <c r="H3" s="247"/>
      <c r="I3" s="248"/>
      <c r="J3" s="246" t="str">
        <f>入力!V2</f>
        <v>路体外盛土
(2.5m≦W＜4.0m)</v>
      </c>
      <c r="K3" s="247"/>
      <c r="L3" s="248"/>
      <c r="M3" s="251" t="str">
        <f>入力!W2</f>
        <v>路体外盛土
(4.0m≦W)</v>
      </c>
      <c r="N3" s="247"/>
      <c r="O3" s="248"/>
      <c r="P3" s="249" t="str">
        <f>入力!X2</f>
        <v>畦畔盛土</v>
      </c>
      <c r="Q3" s="247"/>
      <c r="R3" s="250"/>
      <c r="S3" s="8"/>
      <c r="T3" s="4"/>
    </row>
    <row r="4" spans="1:20">
      <c r="B4" s="8"/>
      <c r="E4" s="9"/>
      <c r="F4" s="10"/>
      <c r="G4" s="41" t="s">
        <v>48</v>
      </c>
      <c r="H4" s="63" t="s">
        <v>49</v>
      </c>
      <c r="I4" s="12" t="s">
        <v>50</v>
      </c>
      <c r="J4" s="41" t="s">
        <v>48</v>
      </c>
      <c r="K4" s="63" t="s">
        <v>49</v>
      </c>
      <c r="L4" s="12" t="s">
        <v>50</v>
      </c>
      <c r="M4" s="11" t="s">
        <v>48</v>
      </c>
      <c r="N4" s="63" t="s">
        <v>49</v>
      </c>
      <c r="O4" s="12" t="s">
        <v>50</v>
      </c>
      <c r="P4" s="13" t="s">
        <v>48</v>
      </c>
      <c r="Q4" s="64" t="s">
        <v>49</v>
      </c>
      <c r="R4" s="14" t="s">
        <v>50</v>
      </c>
      <c r="S4" s="8"/>
      <c r="T4" s="4"/>
    </row>
    <row r="5" spans="1:20" ht="12.6" customHeight="1" thickBot="1">
      <c r="B5" s="15" t="s">
        <v>51</v>
      </c>
      <c r="C5" s="16"/>
      <c r="D5" s="16"/>
      <c r="E5" s="65">
        <f>入力!E4</f>
        <v>20</v>
      </c>
      <c r="F5" s="17" t="s">
        <v>52</v>
      </c>
      <c r="G5" s="42" t="s">
        <v>53</v>
      </c>
      <c r="H5" s="38" t="s">
        <v>53</v>
      </c>
      <c r="I5" s="38" t="s">
        <v>54</v>
      </c>
      <c r="J5" s="42" t="s">
        <v>53</v>
      </c>
      <c r="K5" s="38" t="s">
        <v>53</v>
      </c>
      <c r="L5" s="38" t="s">
        <v>54</v>
      </c>
      <c r="M5" s="18" t="s">
        <v>53</v>
      </c>
      <c r="N5" s="38" t="s">
        <v>53</v>
      </c>
      <c r="O5" s="38" t="s">
        <v>54</v>
      </c>
      <c r="P5" s="19" t="s">
        <v>53</v>
      </c>
      <c r="Q5" s="38" t="s">
        <v>53</v>
      </c>
      <c r="R5" s="39" t="s">
        <v>54</v>
      </c>
      <c r="S5" s="8"/>
      <c r="T5" s="4"/>
    </row>
    <row r="6" spans="1:20" ht="12.6" customHeight="1" thickTop="1">
      <c r="A6" s="4">
        <v>1</v>
      </c>
      <c r="B6" s="51" t="s">
        <v>55</v>
      </c>
      <c r="C6" s="66">
        <f>入力!C5</f>
        <v>0</v>
      </c>
      <c r="D6" s="52" t="s">
        <v>56</v>
      </c>
      <c r="E6" s="67">
        <f>入力!E5</f>
        <v>0</v>
      </c>
      <c r="F6" s="20"/>
      <c r="G6" s="68">
        <f>入力!U5</f>
        <v>0</v>
      </c>
      <c r="H6" s="21"/>
      <c r="I6" s="22"/>
      <c r="J6" s="43">
        <f>入力!V5</f>
        <v>0</v>
      </c>
      <c r="K6" s="21"/>
      <c r="L6" s="22"/>
      <c r="M6" s="43">
        <f>入力!W5</f>
        <v>0</v>
      </c>
      <c r="N6" s="21"/>
      <c r="O6" s="22"/>
      <c r="P6" s="43">
        <f>入力!X5</f>
        <v>0</v>
      </c>
      <c r="Q6" s="21"/>
      <c r="R6" s="23"/>
      <c r="S6" s="8"/>
      <c r="T6" s="4"/>
    </row>
    <row r="7" spans="1:20">
      <c r="A7" s="4">
        <v>2</v>
      </c>
      <c r="B7" s="32" t="s">
        <v>55</v>
      </c>
      <c r="C7" s="69">
        <f>入力!C6</f>
        <v>0</v>
      </c>
      <c r="D7" s="37" t="s">
        <v>56</v>
      </c>
      <c r="E7" s="70">
        <f>入力!E6</f>
        <v>0</v>
      </c>
      <c r="F7" s="24">
        <f t="shared" ref="F7:F30" si="0">IF(ISBLANK(C7),"",(C7-C6)*$E$5+(E7-E6))</f>
        <v>0</v>
      </c>
      <c r="G7" s="68">
        <f>入力!U6</f>
        <v>0</v>
      </c>
      <c r="H7" s="25">
        <f t="shared" ref="H7:H30" si="1">IF(ISBLANK($C7),"",(G6+G7)/2)</f>
        <v>0</v>
      </c>
      <c r="I7" s="26">
        <f t="shared" ref="I7:I30" si="2">ROUND(IF(ISBLANK($C7),"",$F7*H7),1)</f>
        <v>0</v>
      </c>
      <c r="J7" s="43">
        <f>入力!V6</f>
        <v>0</v>
      </c>
      <c r="K7" s="25">
        <f t="shared" ref="K7:K30" si="3">IF(ISBLANK($C7),"",(J6+J7)/2)</f>
        <v>0</v>
      </c>
      <c r="L7" s="26">
        <f t="shared" ref="L7:L30" si="4">ROUND(IF(ISBLANK($C7),"",$F7*K7),1)</f>
        <v>0</v>
      </c>
      <c r="M7" s="43">
        <f>入力!W6</f>
        <v>0</v>
      </c>
      <c r="N7" s="25">
        <f t="shared" ref="N7:N30" si="5">IF(ISBLANK($C7),"",(M6+M7)/2)</f>
        <v>0</v>
      </c>
      <c r="O7" s="26">
        <f t="shared" ref="O7:O30" si="6">ROUND(IF(ISBLANK($C7),"",$F7*N7),1)</f>
        <v>0</v>
      </c>
      <c r="P7" s="43">
        <f>入力!X6</f>
        <v>0</v>
      </c>
      <c r="Q7" s="25">
        <f t="shared" ref="Q7:Q30" si="7">IF(ISBLANK($C7),"",(P6+P7)/2)</f>
        <v>0</v>
      </c>
      <c r="R7" s="23">
        <f t="shared" ref="R7:R30" si="8">ROUND(IF(ISBLANK($C7),"",$F7*Q7),1)</f>
        <v>0</v>
      </c>
      <c r="S7" s="8"/>
      <c r="T7" s="4"/>
    </row>
    <row r="8" spans="1:20" s="27" customFormat="1">
      <c r="A8" s="4">
        <v>3</v>
      </c>
      <c r="B8" s="32" t="s">
        <v>55</v>
      </c>
      <c r="C8" s="69">
        <f>入力!C7</f>
        <v>0</v>
      </c>
      <c r="D8" s="37" t="s">
        <v>56</v>
      </c>
      <c r="E8" s="70">
        <f>入力!E7</f>
        <v>0</v>
      </c>
      <c r="F8" s="24">
        <f t="shared" si="0"/>
        <v>0</v>
      </c>
      <c r="G8" s="68">
        <f>入力!U7</f>
        <v>0</v>
      </c>
      <c r="H8" s="25">
        <f t="shared" si="1"/>
        <v>0</v>
      </c>
      <c r="I8" s="26">
        <f t="shared" si="2"/>
        <v>0</v>
      </c>
      <c r="J8" s="43">
        <f>入力!V7</f>
        <v>0</v>
      </c>
      <c r="K8" s="25">
        <f t="shared" si="3"/>
        <v>0</v>
      </c>
      <c r="L8" s="26">
        <f t="shared" si="4"/>
        <v>0</v>
      </c>
      <c r="M8" s="43">
        <f>入力!W7</f>
        <v>0</v>
      </c>
      <c r="N8" s="25">
        <f t="shared" si="5"/>
        <v>0</v>
      </c>
      <c r="O8" s="26">
        <f t="shared" si="6"/>
        <v>0</v>
      </c>
      <c r="P8" s="43">
        <f>入力!X7</f>
        <v>0</v>
      </c>
      <c r="Q8" s="25">
        <f t="shared" si="7"/>
        <v>0</v>
      </c>
      <c r="R8" s="23">
        <f t="shared" si="8"/>
        <v>0</v>
      </c>
      <c r="S8" s="72"/>
    </row>
    <row r="9" spans="1:20" s="27" customFormat="1">
      <c r="A9" s="4">
        <v>4</v>
      </c>
      <c r="B9" s="32" t="s">
        <v>55</v>
      </c>
      <c r="C9" s="69">
        <f>入力!C8</f>
        <v>0</v>
      </c>
      <c r="D9" s="37" t="s">
        <v>56</v>
      </c>
      <c r="E9" s="70">
        <f>入力!E8</f>
        <v>0</v>
      </c>
      <c r="F9" s="24">
        <f t="shared" si="0"/>
        <v>0</v>
      </c>
      <c r="G9" s="68">
        <f>入力!U8</f>
        <v>0</v>
      </c>
      <c r="H9" s="25">
        <f t="shared" si="1"/>
        <v>0</v>
      </c>
      <c r="I9" s="26">
        <f t="shared" si="2"/>
        <v>0</v>
      </c>
      <c r="J9" s="43">
        <f>入力!V8</f>
        <v>0</v>
      </c>
      <c r="K9" s="25">
        <f t="shared" si="3"/>
        <v>0</v>
      </c>
      <c r="L9" s="26">
        <f t="shared" si="4"/>
        <v>0</v>
      </c>
      <c r="M9" s="43">
        <f>入力!W8</f>
        <v>0</v>
      </c>
      <c r="N9" s="25">
        <f t="shared" si="5"/>
        <v>0</v>
      </c>
      <c r="O9" s="26">
        <f t="shared" si="6"/>
        <v>0</v>
      </c>
      <c r="P9" s="43">
        <f>入力!X8</f>
        <v>0</v>
      </c>
      <c r="Q9" s="25">
        <f t="shared" si="7"/>
        <v>0</v>
      </c>
      <c r="R9" s="23">
        <f t="shared" si="8"/>
        <v>0</v>
      </c>
      <c r="S9" s="72"/>
    </row>
    <row r="10" spans="1:20">
      <c r="A10" s="4">
        <v>5</v>
      </c>
      <c r="B10" s="32" t="s">
        <v>55</v>
      </c>
      <c r="C10" s="69">
        <f>入力!C9</f>
        <v>0</v>
      </c>
      <c r="D10" s="37" t="s">
        <v>56</v>
      </c>
      <c r="E10" s="70">
        <f>入力!E9</f>
        <v>0</v>
      </c>
      <c r="F10" s="24">
        <f t="shared" si="0"/>
        <v>0</v>
      </c>
      <c r="G10" s="68">
        <f>入力!U9</f>
        <v>0</v>
      </c>
      <c r="H10" s="25">
        <f t="shared" si="1"/>
        <v>0</v>
      </c>
      <c r="I10" s="26">
        <f t="shared" si="2"/>
        <v>0</v>
      </c>
      <c r="J10" s="43">
        <f>入力!V9</f>
        <v>0</v>
      </c>
      <c r="K10" s="25">
        <f t="shared" si="3"/>
        <v>0</v>
      </c>
      <c r="L10" s="26">
        <f t="shared" si="4"/>
        <v>0</v>
      </c>
      <c r="M10" s="43">
        <f>入力!W9</f>
        <v>0</v>
      </c>
      <c r="N10" s="25">
        <f t="shared" si="5"/>
        <v>0</v>
      </c>
      <c r="O10" s="26">
        <f t="shared" si="6"/>
        <v>0</v>
      </c>
      <c r="P10" s="43">
        <f>入力!X9</f>
        <v>0</v>
      </c>
      <c r="Q10" s="25">
        <f t="shared" si="7"/>
        <v>0</v>
      </c>
      <c r="R10" s="23">
        <f t="shared" si="8"/>
        <v>0</v>
      </c>
      <c r="S10" s="8"/>
      <c r="T10" s="4"/>
    </row>
    <row r="11" spans="1:20">
      <c r="A11" s="4">
        <v>6</v>
      </c>
      <c r="B11" s="32" t="s">
        <v>55</v>
      </c>
      <c r="C11" s="69">
        <f>入力!C10</f>
        <v>0</v>
      </c>
      <c r="D11" s="37" t="s">
        <v>56</v>
      </c>
      <c r="E11" s="70">
        <f>入力!E10</f>
        <v>0</v>
      </c>
      <c r="F11" s="24">
        <f t="shared" si="0"/>
        <v>0</v>
      </c>
      <c r="G11" s="68">
        <f>入力!U10</f>
        <v>0</v>
      </c>
      <c r="H11" s="25">
        <f t="shared" si="1"/>
        <v>0</v>
      </c>
      <c r="I11" s="26">
        <f t="shared" si="2"/>
        <v>0</v>
      </c>
      <c r="J11" s="43">
        <f>入力!V10</f>
        <v>0</v>
      </c>
      <c r="K11" s="25">
        <f t="shared" si="3"/>
        <v>0</v>
      </c>
      <c r="L11" s="26">
        <f t="shared" si="4"/>
        <v>0</v>
      </c>
      <c r="M11" s="43">
        <f>入力!W10</f>
        <v>0</v>
      </c>
      <c r="N11" s="25">
        <f t="shared" si="5"/>
        <v>0</v>
      </c>
      <c r="O11" s="26">
        <f t="shared" si="6"/>
        <v>0</v>
      </c>
      <c r="P11" s="43">
        <f>入力!X10</f>
        <v>0</v>
      </c>
      <c r="Q11" s="25">
        <f t="shared" si="7"/>
        <v>0</v>
      </c>
      <c r="R11" s="23">
        <f t="shared" si="8"/>
        <v>0</v>
      </c>
      <c r="S11" s="8"/>
      <c r="T11" s="4"/>
    </row>
    <row r="12" spans="1:20" s="27" customFormat="1">
      <c r="A12" s="4">
        <v>7</v>
      </c>
      <c r="B12" s="32" t="s">
        <v>55</v>
      </c>
      <c r="C12" s="69">
        <f>入力!C11</f>
        <v>0</v>
      </c>
      <c r="D12" s="37" t="s">
        <v>56</v>
      </c>
      <c r="E12" s="70">
        <f>入力!E11</f>
        <v>0</v>
      </c>
      <c r="F12" s="24">
        <f t="shared" si="0"/>
        <v>0</v>
      </c>
      <c r="G12" s="68">
        <f>入力!U11</f>
        <v>0</v>
      </c>
      <c r="H12" s="25">
        <f t="shared" si="1"/>
        <v>0</v>
      </c>
      <c r="I12" s="26">
        <f t="shared" si="2"/>
        <v>0</v>
      </c>
      <c r="J12" s="43">
        <f>入力!V11</f>
        <v>0</v>
      </c>
      <c r="K12" s="25">
        <f t="shared" si="3"/>
        <v>0</v>
      </c>
      <c r="L12" s="26">
        <f t="shared" si="4"/>
        <v>0</v>
      </c>
      <c r="M12" s="43">
        <f>入力!W11</f>
        <v>0</v>
      </c>
      <c r="N12" s="25">
        <f t="shared" si="5"/>
        <v>0</v>
      </c>
      <c r="O12" s="26">
        <f t="shared" si="6"/>
        <v>0</v>
      </c>
      <c r="P12" s="43">
        <f>入力!X11</f>
        <v>0</v>
      </c>
      <c r="Q12" s="25">
        <f t="shared" si="7"/>
        <v>0</v>
      </c>
      <c r="R12" s="23">
        <f t="shared" si="8"/>
        <v>0</v>
      </c>
      <c r="S12" s="72"/>
    </row>
    <row r="13" spans="1:20" s="27" customFormat="1">
      <c r="A13" s="4">
        <v>8</v>
      </c>
      <c r="B13" s="32" t="s">
        <v>55</v>
      </c>
      <c r="C13" s="69">
        <f>入力!C12</f>
        <v>0</v>
      </c>
      <c r="D13" s="37" t="s">
        <v>56</v>
      </c>
      <c r="E13" s="70">
        <f>入力!E12</f>
        <v>0</v>
      </c>
      <c r="F13" s="24">
        <f t="shared" si="0"/>
        <v>0</v>
      </c>
      <c r="G13" s="68">
        <f>入力!U12</f>
        <v>0</v>
      </c>
      <c r="H13" s="25">
        <f t="shared" si="1"/>
        <v>0</v>
      </c>
      <c r="I13" s="26">
        <f t="shared" si="2"/>
        <v>0</v>
      </c>
      <c r="J13" s="43">
        <f>入力!V12</f>
        <v>0</v>
      </c>
      <c r="K13" s="25">
        <f t="shared" si="3"/>
        <v>0</v>
      </c>
      <c r="L13" s="26">
        <f t="shared" si="4"/>
        <v>0</v>
      </c>
      <c r="M13" s="43">
        <f>入力!W12</f>
        <v>0</v>
      </c>
      <c r="N13" s="25">
        <f t="shared" si="5"/>
        <v>0</v>
      </c>
      <c r="O13" s="26">
        <f t="shared" si="6"/>
        <v>0</v>
      </c>
      <c r="P13" s="43">
        <f>入力!X12</f>
        <v>0</v>
      </c>
      <c r="Q13" s="25">
        <f t="shared" si="7"/>
        <v>0</v>
      </c>
      <c r="R13" s="23">
        <f t="shared" si="8"/>
        <v>0</v>
      </c>
      <c r="S13" s="72"/>
    </row>
    <row r="14" spans="1:20">
      <c r="A14" s="4">
        <v>9</v>
      </c>
      <c r="B14" s="32" t="s">
        <v>55</v>
      </c>
      <c r="C14" s="69">
        <f>入力!C13</f>
        <v>0</v>
      </c>
      <c r="D14" s="37" t="s">
        <v>56</v>
      </c>
      <c r="E14" s="70">
        <f>入力!E13</f>
        <v>0</v>
      </c>
      <c r="F14" s="24">
        <f t="shared" si="0"/>
        <v>0</v>
      </c>
      <c r="G14" s="68">
        <f>入力!U13</f>
        <v>0</v>
      </c>
      <c r="H14" s="25">
        <f t="shared" si="1"/>
        <v>0</v>
      </c>
      <c r="I14" s="26">
        <f t="shared" si="2"/>
        <v>0</v>
      </c>
      <c r="J14" s="43">
        <f>入力!V13</f>
        <v>0</v>
      </c>
      <c r="K14" s="25">
        <f t="shared" si="3"/>
        <v>0</v>
      </c>
      <c r="L14" s="26">
        <f t="shared" si="4"/>
        <v>0</v>
      </c>
      <c r="M14" s="43">
        <f>入力!W13</f>
        <v>0</v>
      </c>
      <c r="N14" s="25">
        <f t="shared" si="5"/>
        <v>0</v>
      </c>
      <c r="O14" s="26">
        <f t="shared" si="6"/>
        <v>0</v>
      </c>
      <c r="P14" s="43">
        <f>入力!X13</f>
        <v>0</v>
      </c>
      <c r="Q14" s="25">
        <f t="shared" si="7"/>
        <v>0</v>
      </c>
      <c r="R14" s="23">
        <f t="shared" si="8"/>
        <v>0</v>
      </c>
      <c r="S14" s="8"/>
      <c r="T14" s="4"/>
    </row>
    <row r="15" spans="1:20">
      <c r="A15" s="4">
        <v>10</v>
      </c>
      <c r="B15" s="32" t="s">
        <v>55</v>
      </c>
      <c r="C15" s="69">
        <f>入力!C14</f>
        <v>0</v>
      </c>
      <c r="D15" s="37" t="s">
        <v>56</v>
      </c>
      <c r="E15" s="70">
        <f>入力!E14</f>
        <v>0</v>
      </c>
      <c r="F15" s="24">
        <f t="shared" si="0"/>
        <v>0</v>
      </c>
      <c r="G15" s="68">
        <f>入力!U14</f>
        <v>0</v>
      </c>
      <c r="H15" s="25">
        <f t="shared" si="1"/>
        <v>0</v>
      </c>
      <c r="I15" s="26">
        <f t="shared" si="2"/>
        <v>0</v>
      </c>
      <c r="J15" s="43">
        <f>入力!V14</f>
        <v>0</v>
      </c>
      <c r="K15" s="25">
        <f t="shared" si="3"/>
        <v>0</v>
      </c>
      <c r="L15" s="26">
        <f t="shared" si="4"/>
        <v>0</v>
      </c>
      <c r="M15" s="43">
        <f>入力!W14</f>
        <v>0</v>
      </c>
      <c r="N15" s="25">
        <f t="shared" si="5"/>
        <v>0</v>
      </c>
      <c r="O15" s="26">
        <f t="shared" si="6"/>
        <v>0</v>
      </c>
      <c r="P15" s="43">
        <f>入力!X14</f>
        <v>0</v>
      </c>
      <c r="Q15" s="25">
        <f t="shared" si="7"/>
        <v>0</v>
      </c>
      <c r="R15" s="23">
        <f t="shared" si="8"/>
        <v>0</v>
      </c>
      <c r="S15" s="8"/>
      <c r="T15" s="4"/>
    </row>
    <row r="16" spans="1:20">
      <c r="A16" s="4">
        <v>11</v>
      </c>
      <c r="B16" s="32" t="s">
        <v>55</v>
      </c>
      <c r="C16" s="69">
        <f>入力!C15</f>
        <v>0</v>
      </c>
      <c r="D16" s="37" t="s">
        <v>56</v>
      </c>
      <c r="E16" s="70">
        <f>入力!E15</f>
        <v>0</v>
      </c>
      <c r="F16" s="24">
        <f t="shared" si="0"/>
        <v>0</v>
      </c>
      <c r="G16" s="68">
        <f>入力!U15</f>
        <v>0</v>
      </c>
      <c r="H16" s="25">
        <f t="shared" si="1"/>
        <v>0</v>
      </c>
      <c r="I16" s="26">
        <f t="shared" si="2"/>
        <v>0</v>
      </c>
      <c r="J16" s="43">
        <f>入力!V15</f>
        <v>0</v>
      </c>
      <c r="K16" s="25">
        <f t="shared" si="3"/>
        <v>0</v>
      </c>
      <c r="L16" s="26">
        <f t="shared" si="4"/>
        <v>0</v>
      </c>
      <c r="M16" s="43">
        <f>入力!W15</f>
        <v>0</v>
      </c>
      <c r="N16" s="25">
        <f t="shared" si="5"/>
        <v>0</v>
      </c>
      <c r="O16" s="26">
        <f t="shared" si="6"/>
        <v>0</v>
      </c>
      <c r="P16" s="43">
        <f>入力!X15</f>
        <v>0</v>
      </c>
      <c r="Q16" s="25">
        <f t="shared" si="7"/>
        <v>0</v>
      </c>
      <c r="R16" s="23">
        <f t="shared" si="8"/>
        <v>0</v>
      </c>
      <c r="S16" s="8"/>
      <c r="T16" s="4"/>
    </row>
    <row r="17" spans="1:20" s="27" customFormat="1">
      <c r="A17" s="4">
        <v>12</v>
      </c>
      <c r="B17" s="32" t="s">
        <v>55</v>
      </c>
      <c r="C17" s="69">
        <f>入力!C16</f>
        <v>0</v>
      </c>
      <c r="D17" s="37" t="s">
        <v>56</v>
      </c>
      <c r="E17" s="70">
        <f>入力!E16</f>
        <v>0</v>
      </c>
      <c r="F17" s="24">
        <f t="shared" si="0"/>
        <v>0</v>
      </c>
      <c r="G17" s="68">
        <f>入力!U16</f>
        <v>0</v>
      </c>
      <c r="H17" s="25">
        <f t="shared" si="1"/>
        <v>0</v>
      </c>
      <c r="I17" s="26">
        <f t="shared" si="2"/>
        <v>0</v>
      </c>
      <c r="J17" s="43">
        <f>入力!V16</f>
        <v>0</v>
      </c>
      <c r="K17" s="25">
        <f t="shared" si="3"/>
        <v>0</v>
      </c>
      <c r="L17" s="26">
        <f t="shared" si="4"/>
        <v>0</v>
      </c>
      <c r="M17" s="43">
        <f>入力!W16</f>
        <v>0</v>
      </c>
      <c r="N17" s="25">
        <f t="shared" si="5"/>
        <v>0</v>
      </c>
      <c r="O17" s="26">
        <f t="shared" si="6"/>
        <v>0</v>
      </c>
      <c r="P17" s="43">
        <f>入力!X16</f>
        <v>0</v>
      </c>
      <c r="Q17" s="25">
        <f t="shared" si="7"/>
        <v>0</v>
      </c>
      <c r="R17" s="23">
        <f t="shared" si="8"/>
        <v>0</v>
      </c>
      <c r="S17" s="72"/>
    </row>
    <row r="18" spans="1:20">
      <c r="A18" s="4">
        <v>13</v>
      </c>
      <c r="B18" s="32" t="s">
        <v>55</v>
      </c>
      <c r="C18" s="69">
        <f>入力!C17</f>
        <v>0</v>
      </c>
      <c r="D18" s="37" t="s">
        <v>56</v>
      </c>
      <c r="E18" s="70">
        <f>入力!E17</f>
        <v>0</v>
      </c>
      <c r="F18" s="24">
        <f t="shared" si="0"/>
        <v>0</v>
      </c>
      <c r="G18" s="68">
        <f>入力!U17</f>
        <v>0</v>
      </c>
      <c r="H18" s="25">
        <f t="shared" si="1"/>
        <v>0</v>
      </c>
      <c r="I18" s="26">
        <f t="shared" si="2"/>
        <v>0</v>
      </c>
      <c r="J18" s="43">
        <f>入力!V17</f>
        <v>0</v>
      </c>
      <c r="K18" s="25">
        <f t="shared" si="3"/>
        <v>0</v>
      </c>
      <c r="L18" s="26">
        <f t="shared" si="4"/>
        <v>0</v>
      </c>
      <c r="M18" s="43">
        <f>入力!W17</f>
        <v>0</v>
      </c>
      <c r="N18" s="25">
        <f t="shared" si="5"/>
        <v>0</v>
      </c>
      <c r="O18" s="26">
        <f t="shared" si="6"/>
        <v>0</v>
      </c>
      <c r="P18" s="43">
        <f>入力!X17</f>
        <v>0</v>
      </c>
      <c r="Q18" s="25">
        <f t="shared" si="7"/>
        <v>0</v>
      </c>
      <c r="R18" s="23">
        <f t="shared" si="8"/>
        <v>0</v>
      </c>
      <c r="S18" s="8"/>
      <c r="T18" s="4"/>
    </row>
    <row r="19" spans="1:20">
      <c r="A19" s="4">
        <v>14</v>
      </c>
      <c r="B19" s="32" t="s">
        <v>55</v>
      </c>
      <c r="C19" s="69">
        <f>入力!C18</f>
        <v>0</v>
      </c>
      <c r="D19" s="37" t="s">
        <v>56</v>
      </c>
      <c r="E19" s="70">
        <f>入力!E18</f>
        <v>0</v>
      </c>
      <c r="F19" s="24">
        <f t="shared" si="0"/>
        <v>0</v>
      </c>
      <c r="G19" s="68">
        <f>入力!U18</f>
        <v>0</v>
      </c>
      <c r="H19" s="25">
        <f t="shared" si="1"/>
        <v>0</v>
      </c>
      <c r="I19" s="26">
        <f t="shared" si="2"/>
        <v>0</v>
      </c>
      <c r="J19" s="43">
        <f>入力!V18</f>
        <v>0</v>
      </c>
      <c r="K19" s="25">
        <f t="shared" si="3"/>
        <v>0</v>
      </c>
      <c r="L19" s="26">
        <f t="shared" si="4"/>
        <v>0</v>
      </c>
      <c r="M19" s="43">
        <f>入力!W18</f>
        <v>0</v>
      </c>
      <c r="N19" s="25">
        <f t="shared" si="5"/>
        <v>0</v>
      </c>
      <c r="O19" s="26">
        <f t="shared" si="6"/>
        <v>0</v>
      </c>
      <c r="P19" s="43">
        <f>入力!X18</f>
        <v>0</v>
      </c>
      <c r="Q19" s="25">
        <f t="shared" si="7"/>
        <v>0</v>
      </c>
      <c r="R19" s="23">
        <f t="shared" si="8"/>
        <v>0</v>
      </c>
      <c r="S19" s="8"/>
      <c r="T19" s="4"/>
    </row>
    <row r="20" spans="1:20">
      <c r="A20" s="4">
        <v>15</v>
      </c>
      <c r="B20" s="32" t="s">
        <v>55</v>
      </c>
      <c r="C20" s="69">
        <f>入力!C19</f>
        <v>0</v>
      </c>
      <c r="D20" s="37" t="s">
        <v>56</v>
      </c>
      <c r="E20" s="70">
        <f>入力!E19</f>
        <v>0</v>
      </c>
      <c r="F20" s="24">
        <f t="shared" si="0"/>
        <v>0</v>
      </c>
      <c r="G20" s="68">
        <f>入力!U19</f>
        <v>0</v>
      </c>
      <c r="H20" s="25">
        <f t="shared" si="1"/>
        <v>0</v>
      </c>
      <c r="I20" s="26">
        <f t="shared" si="2"/>
        <v>0</v>
      </c>
      <c r="J20" s="43">
        <f>入力!V19</f>
        <v>0</v>
      </c>
      <c r="K20" s="25">
        <f t="shared" si="3"/>
        <v>0</v>
      </c>
      <c r="L20" s="26">
        <f t="shared" si="4"/>
        <v>0</v>
      </c>
      <c r="M20" s="43">
        <f>入力!W19</f>
        <v>0</v>
      </c>
      <c r="N20" s="25">
        <f t="shared" si="5"/>
        <v>0</v>
      </c>
      <c r="O20" s="26">
        <f t="shared" si="6"/>
        <v>0</v>
      </c>
      <c r="P20" s="43">
        <f>入力!X19</f>
        <v>0</v>
      </c>
      <c r="Q20" s="25">
        <f t="shared" si="7"/>
        <v>0</v>
      </c>
      <c r="R20" s="23">
        <f t="shared" si="8"/>
        <v>0</v>
      </c>
      <c r="S20" s="8"/>
      <c r="T20" s="4"/>
    </row>
    <row r="21" spans="1:20">
      <c r="A21" s="4">
        <v>16</v>
      </c>
      <c r="B21" s="32" t="s">
        <v>55</v>
      </c>
      <c r="C21" s="69">
        <f>入力!C20</f>
        <v>0</v>
      </c>
      <c r="D21" s="37" t="s">
        <v>56</v>
      </c>
      <c r="E21" s="70">
        <f>入力!E20</f>
        <v>0</v>
      </c>
      <c r="F21" s="24">
        <f t="shared" si="0"/>
        <v>0</v>
      </c>
      <c r="G21" s="68">
        <f>入力!U20</f>
        <v>0</v>
      </c>
      <c r="H21" s="25">
        <f t="shared" si="1"/>
        <v>0</v>
      </c>
      <c r="I21" s="26">
        <f t="shared" si="2"/>
        <v>0</v>
      </c>
      <c r="J21" s="43">
        <f>入力!V20</f>
        <v>0</v>
      </c>
      <c r="K21" s="25">
        <f t="shared" si="3"/>
        <v>0</v>
      </c>
      <c r="L21" s="26">
        <f t="shared" si="4"/>
        <v>0</v>
      </c>
      <c r="M21" s="43">
        <f>入力!W20</f>
        <v>0</v>
      </c>
      <c r="N21" s="25">
        <f t="shared" si="5"/>
        <v>0</v>
      </c>
      <c r="O21" s="26">
        <f t="shared" si="6"/>
        <v>0</v>
      </c>
      <c r="P21" s="43">
        <f>入力!X20</f>
        <v>0</v>
      </c>
      <c r="Q21" s="25">
        <f t="shared" si="7"/>
        <v>0</v>
      </c>
      <c r="R21" s="23">
        <f t="shared" si="8"/>
        <v>0</v>
      </c>
      <c r="S21" s="8"/>
      <c r="T21" s="4"/>
    </row>
    <row r="22" spans="1:20">
      <c r="A22" s="4">
        <v>17</v>
      </c>
      <c r="B22" s="32" t="s">
        <v>55</v>
      </c>
      <c r="C22" s="69">
        <f>入力!C21</f>
        <v>0</v>
      </c>
      <c r="D22" s="37" t="s">
        <v>56</v>
      </c>
      <c r="E22" s="70">
        <f>入力!E21</f>
        <v>0</v>
      </c>
      <c r="F22" s="24">
        <f t="shared" si="0"/>
        <v>0</v>
      </c>
      <c r="G22" s="68">
        <f>入力!U21</f>
        <v>0</v>
      </c>
      <c r="H22" s="25">
        <f t="shared" si="1"/>
        <v>0</v>
      </c>
      <c r="I22" s="26">
        <f t="shared" si="2"/>
        <v>0</v>
      </c>
      <c r="J22" s="43">
        <f>入力!V21</f>
        <v>0</v>
      </c>
      <c r="K22" s="25">
        <f t="shared" si="3"/>
        <v>0</v>
      </c>
      <c r="L22" s="26">
        <f t="shared" si="4"/>
        <v>0</v>
      </c>
      <c r="M22" s="43">
        <f>入力!W21</f>
        <v>0</v>
      </c>
      <c r="N22" s="25">
        <f t="shared" si="5"/>
        <v>0</v>
      </c>
      <c r="O22" s="26">
        <f t="shared" si="6"/>
        <v>0</v>
      </c>
      <c r="P22" s="43">
        <f>入力!X21</f>
        <v>0</v>
      </c>
      <c r="Q22" s="25">
        <f t="shared" si="7"/>
        <v>0</v>
      </c>
      <c r="R22" s="23">
        <f t="shared" si="8"/>
        <v>0</v>
      </c>
      <c r="S22" s="8"/>
      <c r="T22" s="4"/>
    </row>
    <row r="23" spans="1:20" s="27" customFormat="1">
      <c r="A23" s="4">
        <v>18</v>
      </c>
      <c r="B23" s="32" t="s">
        <v>55</v>
      </c>
      <c r="C23" s="69">
        <f>入力!C22</f>
        <v>0</v>
      </c>
      <c r="D23" s="37" t="s">
        <v>56</v>
      </c>
      <c r="E23" s="70">
        <f>入力!E22</f>
        <v>0</v>
      </c>
      <c r="F23" s="24">
        <f t="shared" si="0"/>
        <v>0</v>
      </c>
      <c r="G23" s="68">
        <f>入力!U22</f>
        <v>0</v>
      </c>
      <c r="H23" s="25">
        <f t="shared" si="1"/>
        <v>0</v>
      </c>
      <c r="I23" s="26">
        <f t="shared" si="2"/>
        <v>0</v>
      </c>
      <c r="J23" s="43">
        <f>入力!V22</f>
        <v>0</v>
      </c>
      <c r="K23" s="25">
        <f t="shared" si="3"/>
        <v>0</v>
      </c>
      <c r="L23" s="26">
        <f t="shared" si="4"/>
        <v>0</v>
      </c>
      <c r="M23" s="43">
        <f>入力!W22</f>
        <v>0</v>
      </c>
      <c r="N23" s="25">
        <f t="shared" si="5"/>
        <v>0</v>
      </c>
      <c r="O23" s="26">
        <f t="shared" si="6"/>
        <v>0</v>
      </c>
      <c r="P23" s="43">
        <f>入力!X22</f>
        <v>0</v>
      </c>
      <c r="Q23" s="25">
        <f t="shared" si="7"/>
        <v>0</v>
      </c>
      <c r="R23" s="23">
        <f t="shared" si="8"/>
        <v>0</v>
      </c>
      <c r="S23" s="72"/>
    </row>
    <row r="24" spans="1:20">
      <c r="A24" s="4">
        <v>19</v>
      </c>
      <c r="B24" s="32" t="s">
        <v>55</v>
      </c>
      <c r="C24" s="69">
        <f>入力!C23</f>
        <v>0</v>
      </c>
      <c r="D24" s="37" t="s">
        <v>56</v>
      </c>
      <c r="E24" s="70">
        <f>入力!E23</f>
        <v>0</v>
      </c>
      <c r="F24" s="24">
        <f t="shared" si="0"/>
        <v>0</v>
      </c>
      <c r="G24" s="68">
        <f>入力!U23</f>
        <v>0</v>
      </c>
      <c r="H24" s="25">
        <f t="shared" si="1"/>
        <v>0</v>
      </c>
      <c r="I24" s="26">
        <f t="shared" si="2"/>
        <v>0</v>
      </c>
      <c r="J24" s="43">
        <f>入力!V23</f>
        <v>0</v>
      </c>
      <c r="K24" s="25">
        <f t="shared" si="3"/>
        <v>0</v>
      </c>
      <c r="L24" s="26">
        <f t="shared" si="4"/>
        <v>0</v>
      </c>
      <c r="M24" s="43">
        <f>入力!W23</f>
        <v>0</v>
      </c>
      <c r="N24" s="25">
        <f t="shared" si="5"/>
        <v>0</v>
      </c>
      <c r="O24" s="26">
        <f t="shared" si="6"/>
        <v>0</v>
      </c>
      <c r="P24" s="43">
        <f>入力!X23</f>
        <v>0</v>
      </c>
      <c r="Q24" s="25">
        <f t="shared" si="7"/>
        <v>0</v>
      </c>
      <c r="R24" s="23">
        <f t="shared" si="8"/>
        <v>0</v>
      </c>
      <c r="S24" s="8"/>
      <c r="T24" s="73"/>
    </row>
    <row r="25" spans="1:20">
      <c r="A25" s="4">
        <v>20</v>
      </c>
      <c r="B25" s="32" t="s">
        <v>55</v>
      </c>
      <c r="C25" s="69">
        <f>入力!C24</f>
        <v>0</v>
      </c>
      <c r="D25" s="37" t="s">
        <v>56</v>
      </c>
      <c r="E25" s="70">
        <f>入力!E24</f>
        <v>0</v>
      </c>
      <c r="F25" s="24">
        <f t="shared" si="0"/>
        <v>0</v>
      </c>
      <c r="G25" s="68">
        <f>入力!U24</f>
        <v>0</v>
      </c>
      <c r="H25" s="25">
        <f t="shared" si="1"/>
        <v>0</v>
      </c>
      <c r="I25" s="26">
        <f t="shared" si="2"/>
        <v>0</v>
      </c>
      <c r="J25" s="43">
        <f>入力!V24</f>
        <v>0</v>
      </c>
      <c r="K25" s="25">
        <f t="shared" si="3"/>
        <v>0</v>
      </c>
      <c r="L25" s="26">
        <f t="shared" si="4"/>
        <v>0</v>
      </c>
      <c r="M25" s="43">
        <f>入力!W24</f>
        <v>0</v>
      </c>
      <c r="N25" s="25">
        <f t="shared" si="5"/>
        <v>0</v>
      </c>
      <c r="O25" s="26">
        <f t="shared" si="6"/>
        <v>0</v>
      </c>
      <c r="P25" s="43">
        <f>入力!X24</f>
        <v>0</v>
      </c>
      <c r="Q25" s="25">
        <f t="shared" si="7"/>
        <v>0</v>
      </c>
      <c r="R25" s="23">
        <f t="shared" si="8"/>
        <v>0</v>
      </c>
      <c r="S25" s="8"/>
      <c r="T25" s="4"/>
    </row>
    <row r="26" spans="1:20">
      <c r="A26" s="4">
        <v>21</v>
      </c>
      <c r="B26" s="32" t="s">
        <v>55</v>
      </c>
      <c r="C26" s="69">
        <f>入力!C25</f>
        <v>0</v>
      </c>
      <c r="D26" s="37" t="s">
        <v>56</v>
      </c>
      <c r="E26" s="70">
        <f>入力!E25</f>
        <v>0</v>
      </c>
      <c r="F26" s="24">
        <f t="shared" si="0"/>
        <v>0</v>
      </c>
      <c r="G26" s="68">
        <f>入力!U25</f>
        <v>0</v>
      </c>
      <c r="H26" s="25">
        <f t="shared" si="1"/>
        <v>0</v>
      </c>
      <c r="I26" s="26">
        <f t="shared" si="2"/>
        <v>0</v>
      </c>
      <c r="J26" s="43">
        <f>入力!V25</f>
        <v>0</v>
      </c>
      <c r="K26" s="25">
        <f t="shared" si="3"/>
        <v>0</v>
      </c>
      <c r="L26" s="26">
        <f t="shared" si="4"/>
        <v>0</v>
      </c>
      <c r="M26" s="43">
        <f>入力!W25</f>
        <v>0</v>
      </c>
      <c r="N26" s="25">
        <f t="shared" si="5"/>
        <v>0</v>
      </c>
      <c r="O26" s="26">
        <f t="shared" si="6"/>
        <v>0</v>
      </c>
      <c r="P26" s="43">
        <f>入力!X25</f>
        <v>0</v>
      </c>
      <c r="Q26" s="25">
        <f t="shared" si="7"/>
        <v>0</v>
      </c>
      <c r="R26" s="23">
        <f t="shared" si="8"/>
        <v>0</v>
      </c>
      <c r="S26" s="8"/>
      <c r="T26" s="4"/>
    </row>
    <row r="27" spans="1:20" s="27" customFormat="1">
      <c r="A27" s="4">
        <v>22</v>
      </c>
      <c r="B27" s="32" t="s">
        <v>55</v>
      </c>
      <c r="C27" s="69">
        <f>入力!C26</f>
        <v>0</v>
      </c>
      <c r="D27" s="37" t="s">
        <v>56</v>
      </c>
      <c r="E27" s="70">
        <f>入力!E26</f>
        <v>0</v>
      </c>
      <c r="F27" s="24">
        <f t="shared" si="0"/>
        <v>0</v>
      </c>
      <c r="G27" s="68">
        <f>入力!U26</f>
        <v>0</v>
      </c>
      <c r="H27" s="25">
        <f t="shared" si="1"/>
        <v>0</v>
      </c>
      <c r="I27" s="26">
        <f t="shared" si="2"/>
        <v>0</v>
      </c>
      <c r="J27" s="43">
        <f>入力!V26</f>
        <v>0</v>
      </c>
      <c r="K27" s="25">
        <f t="shared" si="3"/>
        <v>0</v>
      </c>
      <c r="L27" s="26">
        <f t="shared" si="4"/>
        <v>0</v>
      </c>
      <c r="M27" s="43">
        <f>入力!W26</f>
        <v>0</v>
      </c>
      <c r="N27" s="25">
        <f t="shared" si="5"/>
        <v>0</v>
      </c>
      <c r="O27" s="26">
        <f t="shared" si="6"/>
        <v>0</v>
      </c>
      <c r="P27" s="43">
        <f>入力!X26</f>
        <v>0</v>
      </c>
      <c r="Q27" s="25">
        <f t="shared" si="7"/>
        <v>0</v>
      </c>
      <c r="R27" s="23">
        <f t="shared" si="8"/>
        <v>0</v>
      </c>
      <c r="S27" s="72"/>
    </row>
    <row r="28" spans="1:20">
      <c r="A28" s="4">
        <v>23</v>
      </c>
      <c r="B28" s="32" t="s">
        <v>55</v>
      </c>
      <c r="C28" s="69">
        <f>入力!C27</f>
        <v>0</v>
      </c>
      <c r="D28" s="37" t="s">
        <v>56</v>
      </c>
      <c r="E28" s="70">
        <f>入力!E27</f>
        <v>0</v>
      </c>
      <c r="F28" s="24">
        <f t="shared" si="0"/>
        <v>0</v>
      </c>
      <c r="G28" s="68">
        <f>入力!U27</f>
        <v>0</v>
      </c>
      <c r="H28" s="25">
        <f t="shared" si="1"/>
        <v>0</v>
      </c>
      <c r="I28" s="26">
        <f t="shared" si="2"/>
        <v>0</v>
      </c>
      <c r="J28" s="43">
        <f>入力!V27</f>
        <v>0</v>
      </c>
      <c r="K28" s="25">
        <f t="shared" si="3"/>
        <v>0</v>
      </c>
      <c r="L28" s="26">
        <f t="shared" si="4"/>
        <v>0</v>
      </c>
      <c r="M28" s="43">
        <f>入力!W27</f>
        <v>0</v>
      </c>
      <c r="N28" s="25">
        <f t="shared" si="5"/>
        <v>0</v>
      </c>
      <c r="O28" s="26">
        <f t="shared" si="6"/>
        <v>0</v>
      </c>
      <c r="P28" s="43">
        <f>入力!X27</f>
        <v>0</v>
      </c>
      <c r="Q28" s="25">
        <f t="shared" si="7"/>
        <v>0</v>
      </c>
      <c r="R28" s="23">
        <f t="shared" si="8"/>
        <v>0</v>
      </c>
      <c r="S28" s="8"/>
      <c r="T28" s="4"/>
    </row>
    <row r="29" spans="1:20">
      <c r="A29" s="4">
        <v>24</v>
      </c>
      <c r="B29" s="32" t="s">
        <v>55</v>
      </c>
      <c r="C29" s="69">
        <f>入力!C28</f>
        <v>0</v>
      </c>
      <c r="D29" s="37" t="s">
        <v>56</v>
      </c>
      <c r="E29" s="70">
        <f>入力!E28</f>
        <v>0</v>
      </c>
      <c r="F29" s="24">
        <f t="shared" si="0"/>
        <v>0</v>
      </c>
      <c r="G29" s="68">
        <f>入力!U28</f>
        <v>0</v>
      </c>
      <c r="H29" s="25">
        <f t="shared" si="1"/>
        <v>0</v>
      </c>
      <c r="I29" s="26">
        <f t="shared" si="2"/>
        <v>0</v>
      </c>
      <c r="J29" s="43">
        <f>入力!V28</f>
        <v>0</v>
      </c>
      <c r="K29" s="25">
        <f t="shared" si="3"/>
        <v>0</v>
      </c>
      <c r="L29" s="26">
        <f t="shared" si="4"/>
        <v>0</v>
      </c>
      <c r="M29" s="43">
        <f>入力!W28</f>
        <v>0</v>
      </c>
      <c r="N29" s="25">
        <f t="shared" si="5"/>
        <v>0</v>
      </c>
      <c r="O29" s="26">
        <f t="shared" si="6"/>
        <v>0</v>
      </c>
      <c r="P29" s="43">
        <f>入力!X28</f>
        <v>0</v>
      </c>
      <c r="Q29" s="25">
        <f t="shared" si="7"/>
        <v>0</v>
      </c>
      <c r="R29" s="23">
        <f t="shared" si="8"/>
        <v>0</v>
      </c>
      <c r="S29" s="8"/>
      <c r="T29" s="4"/>
    </row>
    <row r="30" spans="1:20">
      <c r="A30" s="4">
        <v>25</v>
      </c>
      <c r="B30" s="32" t="s">
        <v>55</v>
      </c>
      <c r="C30" s="69">
        <f>入力!C29</f>
        <v>0</v>
      </c>
      <c r="D30" s="37" t="s">
        <v>56</v>
      </c>
      <c r="E30" s="70">
        <f>入力!E29</f>
        <v>0</v>
      </c>
      <c r="F30" s="24">
        <f t="shared" si="0"/>
        <v>0</v>
      </c>
      <c r="G30" s="68">
        <f>入力!U29</f>
        <v>0</v>
      </c>
      <c r="H30" s="25">
        <f t="shared" si="1"/>
        <v>0</v>
      </c>
      <c r="I30" s="26">
        <f t="shared" si="2"/>
        <v>0</v>
      </c>
      <c r="J30" s="43">
        <f>入力!V29</f>
        <v>0</v>
      </c>
      <c r="K30" s="25">
        <f t="shared" si="3"/>
        <v>0</v>
      </c>
      <c r="L30" s="26">
        <f t="shared" si="4"/>
        <v>0</v>
      </c>
      <c r="M30" s="43">
        <f>入力!W29</f>
        <v>0</v>
      </c>
      <c r="N30" s="25">
        <f t="shared" si="5"/>
        <v>0</v>
      </c>
      <c r="O30" s="26">
        <f t="shared" si="6"/>
        <v>0</v>
      </c>
      <c r="P30" s="43">
        <f>入力!X29</f>
        <v>0</v>
      </c>
      <c r="Q30" s="25">
        <f t="shared" si="7"/>
        <v>0</v>
      </c>
      <c r="R30" s="23">
        <f t="shared" si="8"/>
        <v>0</v>
      </c>
      <c r="S30" s="8"/>
      <c r="T30" s="4"/>
    </row>
    <row r="31" spans="1:20">
      <c r="A31" s="4">
        <v>26</v>
      </c>
      <c r="B31" s="32"/>
      <c r="C31" s="69"/>
      <c r="D31" s="37"/>
      <c r="E31" s="70"/>
      <c r="F31" s="24"/>
      <c r="G31" s="68"/>
      <c r="H31" s="25"/>
      <c r="I31" s="26"/>
      <c r="J31" s="43"/>
      <c r="K31" s="25"/>
      <c r="L31" s="26"/>
      <c r="M31" s="43"/>
      <c r="N31" s="25"/>
      <c r="O31" s="26"/>
      <c r="P31" s="43"/>
      <c r="Q31" s="25"/>
      <c r="R31" s="23"/>
      <c r="S31" s="8"/>
      <c r="T31" s="4"/>
    </row>
    <row r="32" spans="1:20">
      <c r="A32" s="4">
        <v>27</v>
      </c>
      <c r="B32" s="32"/>
      <c r="C32" s="69"/>
      <c r="D32" s="37"/>
      <c r="E32" s="70"/>
      <c r="F32" s="24"/>
      <c r="G32" s="68"/>
      <c r="H32" s="25"/>
      <c r="I32" s="26"/>
      <c r="J32" s="43"/>
      <c r="K32" s="25"/>
      <c r="L32" s="26"/>
      <c r="M32" s="43"/>
      <c r="N32" s="25"/>
      <c r="O32" s="26"/>
      <c r="P32" s="43"/>
      <c r="Q32" s="25"/>
      <c r="R32" s="23"/>
      <c r="S32" s="8"/>
      <c r="T32" s="4"/>
    </row>
    <row r="33" spans="1:20" s="27" customFormat="1">
      <c r="A33" s="4">
        <v>28</v>
      </c>
      <c r="B33" s="32"/>
      <c r="C33" s="69"/>
      <c r="D33" s="37"/>
      <c r="E33" s="70"/>
      <c r="F33" s="24"/>
      <c r="G33" s="68"/>
      <c r="H33" s="25"/>
      <c r="I33" s="26"/>
      <c r="J33" s="43"/>
      <c r="K33" s="25"/>
      <c r="L33" s="26"/>
      <c r="M33" s="43"/>
      <c r="N33" s="25"/>
      <c r="O33" s="26"/>
      <c r="P33" s="43"/>
      <c r="Q33" s="25"/>
      <c r="R33" s="23"/>
      <c r="S33" s="72"/>
    </row>
    <row r="34" spans="1:20">
      <c r="A34" s="4">
        <v>29</v>
      </c>
      <c r="B34" s="32"/>
      <c r="C34" s="69"/>
      <c r="D34" s="37"/>
      <c r="E34" s="70"/>
      <c r="F34" s="24"/>
      <c r="G34" s="68"/>
      <c r="H34" s="25"/>
      <c r="I34" s="26"/>
      <c r="J34" s="43"/>
      <c r="K34" s="25"/>
      <c r="L34" s="26"/>
      <c r="M34" s="43"/>
      <c r="N34" s="25"/>
      <c r="O34" s="26"/>
      <c r="P34" s="43"/>
      <c r="Q34" s="25"/>
      <c r="R34" s="23"/>
      <c r="S34" s="8"/>
      <c r="T34" s="4"/>
    </row>
    <row r="35" spans="1:20">
      <c r="A35" s="4">
        <v>30</v>
      </c>
      <c r="B35" s="32"/>
      <c r="C35" s="69"/>
      <c r="D35" s="37"/>
      <c r="E35" s="70"/>
      <c r="F35" s="24"/>
      <c r="G35" s="68"/>
      <c r="H35" s="25"/>
      <c r="I35" s="26"/>
      <c r="J35" s="43"/>
      <c r="K35" s="25"/>
      <c r="L35" s="26"/>
      <c r="M35" s="43"/>
      <c r="N35" s="25"/>
      <c r="O35" s="26"/>
      <c r="P35" s="43"/>
      <c r="Q35" s="25"/>
      <c r="R35" s="23"/>
      <c r="S35" s="8"/>
      <c r="T35" s="4"/>
    </row>
    <row r="36" spans="1:20">
      <c r="A36" s="4">
        <v>31</v>
      </c>
      <c r="B36" s="32"/>
      <c r="C36" s="69"/>
      <c r="D36" s="37"/>
      <c r="E36" s="70"/>
      <c r="F36" s="24"/>
      <c r="G36" s="68"/>
      <c r="H36" s="25"/>
      <c r="I36" s="26"/>
      <c r="J36" s="43"/>
      <c r="K36" s="25"/>
      <c r="L36" s="26"/>
      <c r="M36" s="43"/>
      <c r="N36" s="25"/>
      <c r="O36" s="26"/>
      <c r="P36" s="43"/>
      <c r="Q36" s="25"/>
      <c r="R36" s="23"/>
      <c r="S36" s="8"/>
      <c r="T36" s="4"/>
    </row>
    <row r="37" spans="1:20">
      <c r="A37" s="4">
        <v>32</v>
      </c>
      <c r="B37" s="32"/>
      <c r="C37" s="69"/>
      <c r="D37" s="37"/>
      <c r="E37" s="70"/>
      <c r="F37" s="24"/>
      <c r="G37" s="68"/>
      <c r="H37" s="25"/>
      <c r="I37" s="26"/>
      <c r="J37" s="43"/>
      <c r="K37" s="25"/>
      <c r="L37" s="26"/>
      <c r="M37" s="43"/>
      <c r="N37" s="25"/>
      <c r="O37" s="26"/>
      <c r="P37" s="43"/>
      <c r="Q37" s="25"/>
      <c r="R37" s="23"/>
      <c r="S37" s="8"/>
      <c r="T37" s="4"/>
    </row>
    <row r="38" spans="1:20">
      <c r="A38" s="4">
        <v>33</v>
      </c>
      <c r="B38" s="32"/>
      <c r="C38" s="69"/>
      <c r="D38" s="37"/>
      <c r="E38" s="70"/>
      <c r="F38" s="24"/>
      <c r="G38" s="68"/>
      <c r="H38" s="25"/>
      <c r="I38" s="26"/>
      <c r="J38" s="43"/>
      <c r="K38" s="25"/>
      <c r="L38" s="26"/>
      <c r="M38" s="43"/>
      <c r="N38" s="25"/>
      <c r="O38" s="26"/>
      <c r="P38" s="43"/>
      <c r="Q38" s="25"/>
      <c r="R38" s="23"/>
      <c r="S38" s="8"/>
      <c r="T38" s="4"/>
    </row>
    <row r="39" spans="1:20">
      <c r="A39" s="4">
        <v>34</v>
      </c>
      <c r="B39" s="32"/>
      <c r="C39" s="69"/>
      <c r="D39" s="37"/>
      <c r="E39" s="70"/>
      <c r="F39" s="24"/>
      <c r="G39" s="68"/>
      <c r="H39" s="25"/>
      <c r="I39" s="26"/>
      <c r="J39" s="43"/>
      <c r="K39" s="25"/>
      <c r="L39" s="26"/>
      <c r="M39" s="43"/>
      <c r="N39" s="25"/>
      <c r="O39" s="26"/>
      <c r="P39" s="43"/>
      <c r="Q39" s="25"/>
      <c r="R39" s="23"/>
      <c r="S39" s="8"/>
      <c r="T39" s="4"/>
    </row>
    <row r="40" spans="1:20" ht="12.6" customHeight="1" thickBot="1">
      <c r="A40" s="4">
        <v>35</v>
      </c>
      <c r="B40" s="32"/>
      <c r="C40" s="69"/>
      <c r="D40" s="37"/>
      <c r="E40" s="70"/>
      <c r="F40" s="24"/>
      <c r="G40" s="68"/>
      <c r="H40" s="25"/>
      <c r="I40" s="26"/>
      <c r="J40" s="43"/>
      <c r="K40" s="25"/>
      <c r="L40" s="26"/>
      <c r="M40" s="43"/>
      <c r="N40" s="25"/>
      <c r="O40" s="26"/>
      <c r="P40" s="43"/>
      <c r="Q40" s="25"/>
      <c r="R40" s="23"/>
      <c r="S40" s="8"/>
      <c r="T40" s="4"/>
    </row>
    <row r="41" spans="1:20" ht="12.6" customHeight="1" thickTop="1">
      <c r="B41" s="74"/>
      <c r="C41" s="75" t="s">
        <v>57</v>
      </c>
      <c r="D41" s="76"/>
      <c r="E41" s="49" t="s">
        <v>58</v>
      </c>
      <c r="F41" s="40" t="str">
        <f>IF(SUM(F6:F40)=0,"",SUM(F6:F40))</f>
        <v/>
      </c>
      <c r="G41" s="46"/>
      <c r="H41" s="33"/>
      <c r="I41" s="40">
        <f>SUM(I7:I40)</f>
        <v>0</v>
      </c>
      <c r="J41" s="77"/>
      <c r="K41" s="33"/>
      <c r="L41" s="40">
        <f>SUM(L7:L40)</f>
        <v>0</v>
      </c>
      <c r="M41" s="48"/>
      <c r="N41" s="33"/>
      <c r="O41" s="40">
        <f>SUM(O7:O40)</f>
        <v>0</v>
      </c>
      <c r="P41" s="48"/>
      <c r="Q41" s="33"/>
      <c r="R41" s="47">
        <f>SUM(R7:R40)</f>
        <v>0</v>
      </c>
      <c r="S41" s="8"/>
      <c r="T41" s="4"/>
    </row>
    <row r="42" spans="1:20">
      <c r="B42" s="78"/>
      <c r="C42" s="79" t="str">
        <f>IF(C40="","合","累")</f>
        <v>合</v>
      </c>
      <c r="D42" s="29"/>
      <c r="E42" s="30" t="s">
        <v>58</v>
      </c>
      <c r="F42" s="1" t="str">
        <f>F41</f>
        <v/>
      </c>
      <c r="G42" s="44"/>
      <c r="H42" s="28"/>
      <c r="I42" s="1">
        <f>I41</f>
        <v>0</v>
      </c>
      <c r="J42" s="45"/>
      <c r="K42" s="28"/>
      <c r="L42" s="1">
        <f>L41</f>
        <v>0</v>
      </c>
      <c r="M42" s="80"/>
      <c r="N42" s="28"/>
      <c r="O42" s="1">
        <f>O41</f>
        <v>0</v>
      </c>
      <c r="P42" s="80"/>
      <c r="Q42" s="28"/>
      <c r="R42" s="2">
        <f>R41</f>
        <v>0</v>
      </c>
      <c r="S42" s="8"/>
      <c r="T42" s="4"/>
    </row>
  </sheetData>
  <mergeCells count="4">
    <mergeCell ref="J3:L3"/>
    <mergeCell ref="P3:R3"/>
    <mergeCell ref="G3:I3"/>
    <mergeCell ref="M3:O3"/>
  </mergeCells>
  <phoneticPr fontId="24"/>
  <printOptions horizontalCentered="1" verticalCentered="1" gridLinesSet="0"/>
  <pageMargins left="0.31496062992125978" right="0.19685039370078741" top="1.03" bottom="0.31496062992125978" header="1.19" footer="0.36"/>
  <pageSetup paperSize="9" orientation="landscape" blackAndWhite="1" horizontalDpi="4294967292" verticalDpi="300" r:id="rId1"/>
  <headerFooter alignWithMargins="0">
    <oddHeader>&amp;R&amp;P／&amp;N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I175"/>
  <sheetViews>
    <sheetView view="pageBreakPreview" topLeftCell="A4" zoomScale="136" zoomScaleNormal="100" zoomScaleSheetLayoutView="136" workbookViewId="0">
      <selection activeCell="G26" sqref="G26"/>
    </sheetView>
  </sheetViews>
  <sheetFormatPr defaultColWidth="10.28515625" defaultRowHeight="13.5"/>
  <cols>
    <col min="1" max="1" width="9" style="100" customWidth="1"/>
    <col min="2" max="2" width="16.85546875" style="100" bestFit="1" customWidth="1"/>
    <col min="3" max="3" width="14.28515625" style="100" bestFit="1" customWidth="1"/>
    <col min="4" max="4" width="6.85546875" style="100" customWidth="1"/>
    <col min="5" max="8" width="14.7109375" style="100" customWidth="1"/>
    <col min="9" max="9" width="9" style="100" customWidth="1"/>
    <col min="10" max="10" width="3" style="100" customWidth="1"/>
    <col min="11" max="30" width="4.140625" style="100" customWidth="1"/>
    <col min="31" max="31" width="10.28515625" style="100" customWidth="1"/>
    <col min="32" max="16384" width="10.28515625" style="100"/>
  </cols>
  <sheetData>
    <row r="1" spans="1:9" ht="16.5" customHeight="1"/>
    <row r="2" spans="1:9" ht="16.5" customHeight="1">
      <c r="B2" s="100" t="s">
        <v>43</v>
      </c>
    </row>
    <row r="3" spans="1:9" ht="16.5" customHeight="1">
      <c r="B3" s="259" t="s">
        <v>59</v>
      </c>
      <c r="C3" s="257" t="s">
        <v>60</v>
      </c>
      <c r="D3" s="257" t="s">
        <v>5</v>
      </c>
      <c r="E3" s="257" t="s">
        <v>61</v>
      </c>
      <c r="F3" s="101" t="s">
        <v>62</v>
      </c>
      <c r="G3" s="261" t="s">
        <v>63</v>
      </c>
      <c r="H3" s="102" t="s">
        <v>64</v>
      </c>
    </row>
    <row r="4" spans="1:9" ht="16.5" customHeight="1">
      <c r="B4" s="260"/>
      <c r="C4" s="258"/>
      <c r="D4" s="258"/>
      <c r="E4" s="258"/>
      <c r="F4" s="104" t="s">
        <v>41</v>
      </c>
      <c r="G4" s="262"/>
      <c r="H4" s="105" t="s">
        <v>65</v>
      </c>
    </row>
    <row r="5" spans="1:9" ht="16.5" customHeight="1">
      <c r="B5" s="116" t="s">
        <v>9</v>
      </c>
      <c r="C5" s="106" t="s">
        <v>10</v>
      </c>
      <c r="D5" s="115" t="s">
        <v>11</v>
      </c>
      <c r="E5" s="147">
        <f>掘削!I42</f>
        <v>0</v>
      </c>
      <c r="F5" s="148">
        <v>0</v>
      </c>
      <c r="G5" s="149">
        <f>ROUND(E5,1)</f>
        <v>0</v>
      </c>
      <c r="H5" s="254">
        <f>SUM(G5:G8)</f>
        <v>0</v>
      </c>
    </row>
    <row r="6" spans="1:9" ht="16.5" customHeight="1">
      <c r="B6" s="124"/>
      <c r="C6" s="107"/>
      <c r="D6" s="108"/>
      <c r="E6" s="150"/>
      <c r="F6" s="151"/>
      <c r="G6" s="151"/>
      <c r="H6" s="255"/>
    </row>
    <row r="7" spans="1:9" ht="16.5" customHeight="1">
      <c r="B7" s="124"/>
      <c r="C7" s="107"/>
      <c r="D7" s="108"/>
      <c r="E7" s="150"/>
      <c r="F7" s="151"/>
      <c r="G7" s="151"/>
      <c r="H7" s="255"/>
    </row>
    <row r="8" spans="1:9" ht="16.5" customHeight="1">
      <c r="B8" s="117"/>
      <c r="C8" s="109"/>
      <c r="D8" s="103"/>
      <c r="E8" s="152"/>
      <c r="F8" s="153"/>
      <c r="G8" s="153"/>
      <c r="H8" s="256"/>
    </row>
    <row r="9" spans="1:9" ht="16.5" customHeight="1">
      <c r="B9" s="116" t="s">
        <v>14</v>
      </c>
      <c r="C9" s="106" t="s">
        <v>66</v>
      </c>
      <c r="D9" s="118" t="s">
        <v>11</v>
      </c>
      <c r="E9" s="147">
        <f>路体!I42</f>
        <v>0</v>
      </c>
      <c r="F9" s="154">
        <v>0.9</v>
      </c>
      <c r="G9" s="148">
        <f>ROUND(E9/F9,1)</f>
        <v>0</v>
      </c>
      <c r="H9" s="254">
        <f>SUM(G9:G24)</f>
        <v>0</v>
      </c>
    </row>
    <row r="10" spans="1:9" ht="16.5" customHeight="1">
      <c r="B10" s="124"/>
      <c r="C10" s="107" t="s">
        <v>67</v>
      </c>
      <c r="D10" s="108" t="s">
        <v>11</v>
      </c>
      <c r="E10" s="150">
        <f>路体!N42</f>
        <v>0</v>
      </c>
      <c r="F10" s="155">
        <v>0.9</v>
      </c>
      <c r="G10" s="151">
        <f>ROUND(E10/F10,1)</f>
        <v>0</v>
      </c>
      <c r="H10" s="255"/>
    </row>
    <row r="11" spans="1:9" ht="16.5" customHeight="1">
      <c r="B11" s="124"/>
      <c r="C11" s="107" t="s">
        <v>68</v>
      </c>
      <c r="D11" s="108" t="s">
        <v>11</v>
      </c>
      <c r="E11" s="150">
        <f>路体!Q42</f>
        <v>0</v>
      </c>
      <c r="F11" s="155">
        <v>0.9</v>
      </c>
      <c r="G11" s="151">
        <f>ROUND(E11/F11,1)</f>
        <v>0</v>
      </c>
      <c r="H11" s="255"/>
    </row>
    <row r="12" spans="1:9" ht="16.5" customHeight="1">
      <c r="B12" s="124"/>
      <c r="C12" s="107"/>
      <c r="D12" s="108"/>
      <c r="E12" s="150"/>
      <c r="F12" s="155"/>
      <c r="G12" s="151"/>
      <c r="H12" s="255"/>
    </row>
    <row r="13" spans="1:9" ht="16.5" customHeight="1">
      <c r="A13" s="110"/>
      <c r="B13" s="124" t="s">
        <v>21</v>
      </c>
      <c r="C13" s="107" t="s">
        <v>66</v>
      </c>
      <c r="D13" s="108" t="s">
        <v>11</v>
      </c>
      <c r="E13" s="150">
        <f>路床!I42</f>
        <v>0</v>
      </c>
      <c r="F13" s="155">
        <v>0.9</v>
      </c>
      <c r="G13" s="151">
        <f>ROUND(E13/F13,1)</f>
        <v>0</v>
      </c>
      <c r="H13" s="255"/>
      <c r="I13" s="110"/>
    </row>
    <row r="14" spans="1:9" ht="16.5" customHeight="1">
      <c r="B14" s="124"/>
      <c r="C14" s="107" t="s">
        <v>67</v>
      </c>
      <c r="D14" s="108" t="s">
        <v>11</v>
      </c>
      <c r="E14" s="150">
        <f>路床!L42</f>
        <v>0</v>
      </c>
      <c r="F14" s="155">
        <v>0.9</v>
      </c>
      <c r="G14" s="151">
        <f>ROUND(E14/F14,1)</f>
        <v>0</v>
      </c>
      <c r="H14" s="255"/>
    </row>
    <row r="15" spans="1:9" ht="16.5" customHeight="1">
      <c r="A15" s="111"/>
      <c r="B15" s="124"/>
      <c r="C15" s="107" t="s">
        <v>68</v>
      </c>
      <c r="D15" s="108" t="s">
        <v>11</v>
      </c>
      <c r="E15" s="150">
        <f>路床!O42</f>
        <v>0</v>
      </c>
      <c r="F15" s="155">
        <v>0.9</v>
      </c>
      <c r="G15" s="151">
        <f>ROUND(E15/F15,1)</f>
        <v>0</v>
      </c>
      <c r="H15" s="255"/>
    </row>
    <row r="16" spans="1:9" ht="16.5" customHeight="1">
      <c r="A16" s="110"/>
      <c r="B16" s="124"/>
      <c r="C16" s="107"/>
      <c r="D16" s="108"/>
      <c r="E16" s="150"/>
      <c r="F16" s="155"/>
      <c r="G16" s="151"/>
      <c r="H16" s="255"/>
    </row>
    <row r="17" spans="1:9" ht="16.5" customHeight="1">
      <c r="A17" s="111"/>
      <c r="B17" s="124" t="s">
        <v>25</v>
      </c>
      <c r="C17" s="107" t="s">
        <v>66</v>
      </c>
      <c r="D17" s="108" t="s">
        <v>11</v>
      </c>
      <c r="E17" s="150">
        <f>路体外!I42</f>
        <v>0</v>
      </c>
      <c r="F17" s="155">
        <v>0.9</v>
      </c>
      <c r="G17" s="151">
        <f>ROUND(E17/F17,1)</f>
        <v>0</v>
      </c>
      <c r="H17" s="255"/>
    </row>
    <row r="18" spans="1:9" ht="16.5" customHeight="1">
      <c r="B18" s="124"/>
      <c r="C18" s="107" t="s">
        <v>67</v>
      </c>
      <c r="D18" s="108" t="s">
        <v>11</v>
      </c>
      <c r="E18" s="150">
        <f>路体外!L42</f>
        <v>0</v>
      </c>
      <c r="F18" s="155">
        <v>0.9</v>
      </c>
      <c r="G18" s="151">
        <f>ROUND(E18/F18,1)</f>
        <v>0</v>
      </c>
      <c r="H18" s="255"/>
    </row>
    <row r="19" spans="1:9" ht="16.5" customHeight="1">
      <c r="B19" s="124"/>
      <c r="C19" s="107" t="s">
        <v>68</v>
      </c>
      <c r="D19" s="108" t="s">
        <v>11</v>
      </c>
      <c r="E19" s="150">
        <f>路体外!O42</f>
        <v>0</v>
      </c>
      <c r="F19" s="155">
        <v>0.9</v>
      </c>
      <c r="G19" s="151">
        <f>ROUND(E19/F19,1)</f>
        <v>0</v>
      </c>
      <c r="H19" s="255"/>
    </row>
    <row r="20" spans="1:9" ht="16.5" customHeight="1">
      <c r="B20" s="124"/>
      <c r="C20" s="107"/>
      <c r="D20" s="108"/>
      <c r="E20" s="150"/>
      <c r="F20" s="155"/>
      <c r="G20" s="151"/>
      <c r="H20" s="255"/>
    </row>
    <row r="21" spans="1:9" ht="16.5" customHeight="1">
      <c r="B21" s="124" t="s">
        <v>29</v>
      </c>
      <c r="C21" s="107"/>
      <c r="D21" s="108" t="s">
        <v>11</v>
      </c>
      <c r="E21" s="150">
        <f>路体外!R42</f>
        <v>0</v>
      </c>
      <c r="F21" s="155">
        <v>0.9</v>
      </c>
      <c r="G21" s="151">
        <f>ROUND(E21/F21,1)</f>
        <v>0</v>
      </c>
      <c r="H21" s="255"/>
    </row>
    <row r="22" spans="1:9" ht="16.5" customHeight="1">
      <c r="B22" s="124"/>
      <c r="C22" s="107"/>
      <c r="D22" s="108"/>
      <c r="E22" s="150"/>
      <c r="F22" s="151"/>
      <c r="G22" s="151"/>
      <c r="H22" s="255"/>
    </row>
    <row r="23" spans="1:9" ht="16.5" customHeight="1">
      <c r="B23" s="190"/>
      <c r="C23" s="191"/>
      <c r="D23" s="108"/>
      <c r="E23" s="192"/>
      <c r="F23" s="193"/>
      <c r="G23" s="193"/>
      <c r="H23" s="255"/>
    </row>
    <row r="24" spans="1:9" ht="16.5" customHeight="1">
      <c r="B24" s="117"/>
      <c r="C24" s="109"/>
      <c r="D24" s="103"/>
      <c r="E24" s="152"/>
      <c r="F24" s="153"/>
      <c r="G24" s="153"/>
      <c r="H24" s="256"/>
    </row>
    <row r="25" spans="1:9" ht="16.5" customHeight="1">
      <c r="D25" s="113"/>
      <c r="F25" s="112"/>
    </row>
    <row r="26" spans="1:9" ht="16.5" customHeight="1">
      <c r="B26" s="113" t="s">
        <v>31</v>
      </c>
      <c r="C26" s="100">
        <f>H9</f>
        <v>0</v>
      </c>
      <c r="D26" s="112" t="s">
        <v>69</v>
      </c>
      <c r="E26" s="100">
        <f>H5</f>
        <v>0</v>
      </c>
      <c r="F26" s="112" t="s">
        <v>70</v>
      </c>
      <c r="G26" s="114">
        <f>ROUND(C26-E26,1)</f>
        <v>0</v>
      </c>
      <c r="H26" s="100" t="s">
        <v>11</v>
      </c>
    </row>
    <row r="27" spans="1:9" ht="16.5" customHeight="1"/>
    <row r="28" spans="1:9" ht="16.5" customHeight="1">
      <c r="G28" s="111"/>
      <c r="I28" s="112"/>
    </row>
    <row r="29" spans="1:9" ht="16.5" customHeight="1"/>
    <row r="30" spans="1:9" ht="16.5" customHeight="1">
      <c r="D30" s="113"/>
    </row>
    <row r="31" spans="1:9" ht="20.100000000000001" customHeight="1">
      <c r="D31" s="113"/>
    </row>
    <row r="32" spans="1:9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</sheetData>
  <mergeCells count="7">
    <mergeCell ref="H9:H24"/>
    <mergeCell ref="C3:C4"/>
    <mergeCell ref="B3:B4"/>
    <mergeCell ref="G3:G4"/>
    <mergeCell ref="E3:E4"/>
    <mergeCell ref="D3:D4"/>
    <mergeCell ref="H5:H8"/>
  </mergeCells>
  <phoneticPr fontId="24"/>
  <pageMargins left="0.7" right="0.7" top="0.75" bottom="0.75" header="0.3" footer="0.3"/>
  <pageSetup paperSize="9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syncVertical="1" syncRef="A6" transitionEvaluation="1" transitionEntry="1" codeName="Sheet7"/>
  <dimension ref="A1:T42"/>
  <sheetViews>
    <sheetView showGridLines="0" view="pageBreakPreview" zoomScaleNormal="75" zoomScaleSheetLayoutView="100" workbookViewId="0">
      <pane ySplit="5" topLeftCell="A6" activePane="bottomLeft" state="frozen"/>
      <selection activeCell="Q1" sqref="Q1"/>
      <selection pane="bottomLeft" activeCell="Q36" sqref="Q36"/>
    </sheetView>
  </sheetViews>
  <sheetFormatPr defaultColWidth="10.7109375" defaultRowHeight="12"/>
  <cols>
    <col min="1" max="2" width="4.7109375" style="4" customWidth="1"/>
    <col min="3" max="3" width="5.7109375" style="4" customWidth="1"/>
    <col min="4" max="4" width="2.5703125" style="4" customWidth="1"/>
    <col min="5" max="5" width="9.5703125" style="4" bestFit="1" customWidth="1"/>
    <col min="6" max="6" width="10.140625" style="4" bestFit="1" customWidth="1"/>
    <col min="7" max="7" width="10.7109375" style="81" customWidth="1"/>
    <col min="8" max="8" width="8.7109375" style="4" customWidth="1"/>
    <col min="9" max="9" width="9.7109375" style="4" customWidth="1"/>
    <col min="10" max="10" width="9.7109375" style="81" customWidth="1"/>
    <col min="11" max="11" width="8.7109375" style="82" customWidth="1"/>
    <col min="12" max="13" width="9.7109375" style="4" customWidth="1"/>
    <col min="14" max="14" width="8.7109375" style="82" customWidth="1"/>
    <col min="15" max="15" width="9.7109375" style="4" customWidth="1"/>
    <col min="16" max="16" width="9.5703125" style="4" customWidth="1"/>
    <col min="17" max="17" width="8.7109375" style="82" customWidth="1"/>
    <col min="18" max="19" width="9.7109375" style="4" customWidth="1"/>
    <col min="20" max="20" width="8.7109375" style="82" customWidth="1"/>
    <col min="21" max="22" width="9.7109375" style="4" customWidth="1"/>
    <col min="23" max="23" width="11" style="4" customWidth="1"/>
    <col min="24" max="24" width="10.7109375" style="4" customWidth="1"/>
    <col min="25" max="16384" width="10.7109375" style="4"/>
  </cols>
  <sheetData>
    <row r="1" spans="1:20" ht="16.5" customHeight="1">
      <c r="A1" s="55"/>
      <c r="B1" s="56" t="s">
        <v>71</v>
      </c>
      <c r="C1" s="54"/>
      <c r="D1" s="54"/>
      <c r="E1" s="54"/>
      <c r="F1" s="57"/>
      <c r="G1" s="58"/>
      <c r="H1" s="54"/>
      <c r="I1" s="54"/>
      <c r="J1" s="58"/>
      <c r="K1" s="54"/>
      <c r="L1" s="3"/>
      <c r="M1" s="59"/>
      <c r="N1" s="54"/>
      <c r="O1" s="54"/>
      <c r="P1" s="59"/>
      <c r="Q1" s="54"/>
      <c r="R1" s="54"/>
      <c r="T1" s="4"/>
    </row>
    <row r="2" spans="1:20" ht="12.95" customHeight="1">
      <c r="A2" s="55"/>
      <c r="B2" s="60"/>
      <c r="C2" s="54"/>
      <c r="D2" s="54"/>
      <c r="E2" s="54"/>
      <c r="F2" s="57"/>
      <c r="G2" s="58"/>
      <c r="H2" s="54"/>
      <c r="I2" s="54"/>
      <c r="J2" s="58"/>
      <c r="K2" s="54"/>
      <c r="L2" s="3"/>
      <c r="M2" s="59"/>
      <c r="N2" s="54"/>
      <c r="O2" s="54"/>
      <c r="P2" s="59"/>
      <c r="Q2" s="61"/>
      <c r="R2" s="62"/>
      <c r="T2" s="4"/>
    </row>
    <row r="3" spans="1:20">
      <c r="B3" s="5" t="s">
        <v>46</v>
      </c>
      <c r="C3" s="6"/>
      <c r="D3" s="6"/>
      <c r="E3" s="6"/>
      <c r="F3" s="7" t="s">
        <v>47</v>
      </c>
      <c r="G3" s="251" t="str">
        <f>IF(入力!Y2="","",入力!Y2)</f>
        <v>切土法面整形(左)</v>
      </c>
      <c r="H3" s="247"/>
      <c r="I3" s="248"/>
      <c r="J3" s="246" t="str">
        <f>入力!Z2</f>
        <v>切土法面整形(右)</v>
      </c>
      <c r="K3" s="247"/>
      <c r="L3" s="248"/>
      <c r="M3" s="251" t="str">
        <f>入力!AA2</f>
        <v>盛土法面整形(左)</v>
      </c>
      <c r="N3" s="247"/>
      <c r="O3" s="248"/>
      <c r="P3" s="249" t="str">
        <f>入力!AB2</f>
        <v>盛土法面整形(右)</v>
      </c>
      <c r="Q3" s="247"/>
      <c r="R3" s="250"/>
      <c r="S3" s="8"/>
      <c r="T3" s="4"/>
    </row>
    <row r="4" spans="1:20">
      <c r="B4" s="8"/>
      <c r="E4" s="9"/>
      <c r="F4" s="10"/>
      <c r="G4" s="41" t="s">
        <v>72</v>
      </c>
      <c r="H4" s="63" t="s">
        <v>73</v>
      </c>
      <c r="I4" s="12" t="s">
        <v>74</v>
      </c>
      <c r="J4" s="41" t="s">
        <v>72</v>
      </c>
      <c r="K4" s="63" t="s">
        <v>73</v>
      </c>
      <c r="L4" s="12" t="s">
        <v>74</v>
      </c>
      <c r="M4" s="11" t="s">
        <v>72</v>
      </c>
      <c r="N4" s="63" t="s">
        <v>73</v>
      </c>
      <c r="O4" s="12" t="s">
        <v>74</v>
      </c>
      <c r="P4" s="13" t="s">
        <v>72</v>
      </c>
      <c r="Q4" s="64" t="s">
        <v>73</v>
      </c>
      <c r="R4" s="14" t="s">
        <v>74</v>
      </c>
      <c r="S4" s="8"/>
      <c r="T4" s="4"/>
    </row>
    <row r="5" spans="1:20" ht="12.75" customHeight="1" thickBot="1">
      <c r="B5" s="15" t="s">
        <v>51</v>
      </c>
      <c r="C5" s="16"/>
      <c r="D5" s="16"/>
      <c r="E5" s="65">
        <f>入力!E4</f>
        <v>20</v>
      </c>
      <c r="F5" s="17" t="s">
        <v>52</v>
      </c>
      <c r="G5" s="42" t="s">
        <v>52</v>
      </c>
      <c r="H5" s="38" t="s">
        <v>52</v>
      </c>
      <c r="I5" s="38" t="s">
        <v>53</v>
      </c>
      <c r="J5" s="42" t="s">
        <v>52</v>
      </c>
      <c r="K5" s="38" t="s">
        <v>52</v>
      </c>
      <c r="L5" s="38" t="s">
        <v>53</v>
      </c>
      <c r="M5" s="18" t="s">
        <v>52</v>
      </c>
      <c r="N5" s="38" t="s">
        <v>52</v>
      </c>
      <c r="O5" s="38" t="s">
        <v>53</v>
      </c>
      <c r="P5" s="19" t="s">
        <v>52</v>
      </c>
      <c r="Q5" s="38" t="s">
        <v>52</v>
      </c>
      <c r="R5" s="39" t="s">
        <v>53</v>
      </c>
      <c r="S5" s="8"/>
      <c r="T5" s="4"/>
    </row>
    <row r="6" spans="1:20" ht="12.6" customHeight="1" thickTop="1">
      <c r="A6" s="4">
        <v>1</v>
      </c>
      <c r="B6" s="51" t="s">
        <v>55</v>
      </c>
      <c r="C6" s="66">
        <f>入力!C5</f>
        <v>0</v>
      </c>
      <c r="D6" s="52" t="s">
        <v>56</v>
      </c>
      <c r="E6" s="67">
        <f>入力!E5</f>
        <v>0</v>
      </c>
      <c r="F6" s="20"/>
      <c r="G6" s="68">
        <f>入力!Y5</f>
        <v>0</v>
      </c>
      <c r="H6" s="21"/>
      <c r="I6" s="22"/>
      <c r="J6" s="43">
        <f>入力!Z5</f>
        <v>0</v>
      </c>
      <c r="K6" s="21"/>
      <c r="L6" s="22"/>
      <c r="M6" s="43">
        <f>入力!AA5</f>
        <v>0</v>
      </c>
      <c r="N6" s="21"/>
      <c r="O6" s="22"/>
      <c r="P6" s="43">
        <f>入力!AB5</f>
        <v>0</v>
      </c>
      <c r="Q6" s="21"/>
      <c r="R6" s="23"/>
      <c r="S6" s="8"/>
      <c r="T6" s="4"/>
    </row>
    <row r="7" spans="1:20">
      <c r="A7" s="4">
        <v>2</v>
      </c>
      <c r="B7" s="32" t="s">
        <v>55</v>
      </c>
      <c r="C7" s="69">
        <f>入力!C6</f>
        <v>0</v>
      </c>
      <c r="D7" s="37" t="s">
        <v>56</v>
      </c>
      <c r="E7" s="70">
        <f>入力!E6</f>
        <v>0</v>
      </c>
      <c r="F7" s="24">
        <f t="shared" ref="F7:F30" si="0">IF(ISBLANK(C7),"",(C7-C6)*$E$5+(E7-E6))</f>
        <v>0</v>
      </c>
      <c r="G7" s="71">
        <f>入力!Y6</f>
        <v>0</v>
      </c>
      <c r="H7" s="25">
        <f t="shared" ref="H7:H30" si="1">IF(ISBLANK($C7),"",(G6+G7)/2)</f>
        <v>0</v>
      </c>
      <c r="I7" s="26">
        <f t="shared" ref="I7:I30" si="2">ROUND(IF(ISBLANK($C7),"",$F7*H7),1)</f>
        <v>0</v>
      </c>
      <c r="J7" s="43">
        <f>入力!Z6</f>
        <v>0</v>
      </c>
      <c r="K7" s="25">
        <f t="shared" ref="K7:K30" si="3">IF(ISBLANK($C7),"",(J6+J7)/2)</f>
        <v>0</v>
      </c>
      <c r="L7" s="26">
        <f t="shared" ref="L7:L30" si="4">ROUND(IF(ISBLANK($C7),"",$F7*K7),1)</f>
        <v>0</v>
      </c>
      <c r="M7" s="43">
        <f>入力!AA6</f>
        <v>0</v>
      </c>
      <c r="N7" s="25">
        <f t="shared" ref="N7:N30" si="5">IF(ISBLANK($C7),"",(M6+M7)/2)</f>
        <v>0</v>
      </c>
      <c r="O7" s="26">
        <f t="shared" ref="O7:O30" si="6">ROUND(IF(ISBLANK($C7),"",$F7*N7),1)</f>
        <v>0</v>
      </c>
      <c r="P7" s="43">
        <f>入力!AB6</f>
        <v>0</v>
      </c>
      <c r="Q7" s="25">
        <f t="shared" ref="Q7:Q30" si="7">IF(ISBLANK($C7),"",(P6+P7)/2)</f>
        <v>0</v>
      </c>
      <c r="R7" s="23">
        <f t="shared" ref="R7:R30" si="8">ROUND(IF(ISBLANK($C7),"",$F7*Q7),1)</f>
        <v>0</v>
      </c>
      <c r="S7" s="8"/>
      <c r="T7" s="4"/>
    </row>
    <row r="8" spans="1:20" s="27" customFormat="1">
      <c r="A8" s="4">
        <v>3</v>
      </c>
      <c r="B8" s="32" t="s">
        <v>55</v>
      </c>
      <c r="C8" s="69">
        <f>入力!C7</f>
        <v>0</v>
      </c>
      <c r="D8" s="37" t="s">
        <v>56</v>
      </c>
      <c r="E8" s="70">
        <f>入力!E7</f>
        <v>0</v>
      </c>
      <c r="F8" s="24">
        <f t="shared" si="0"/>
        <v>0</v>
      </c>
      <c r="G8" s="71">
        <f>入力!Y7</f>
        <v>0</v>
      </c>
      <c r="H8" s="25">
        <f t="shared" si="1"/>
        <v>0</v>
      </c>
      <c r="I8" s="26">
        <f t="shared" si="2"/>
        <v>0</v>
      </c>
      <c r="J8" s="43">
        <f>入力!Z7</f>
        <v>0</v>
      </c>
      <c r="K8" s="25">
        <f t="shared" si="3"/>
        <v>0</v>
      </c>
      <c r="L8" s="26">
        <f t="shared" si="4"/>
        <v>0</v>
      </c>
      <c r="M8" s="43">
        <f>入力!AA7</f>
        <v>0</v>
      </c>
      <c r="N8" s="25">
        <f t="shared" si="5"/>
        <v>0</v>
      </c>
      <c r="O8" s="26">
        <f t="shared" si="6"/>
        <v>0</v>
      </c>
      <c r="P8" s="43">
        <f>入力!AB7</f>
        <v>0</v>
      </c>
      <c r="Q8" s="25">
        <f t="shared" si="7"/>
        <v>0</v>
      </c>
      <c r="R8" s="23">
        <f t="shared" si="8"/>
        <v>0</v>
      </c>
      <c r="S8" s="72"/>
    </row>
    <row r="9" spans="1:20" s="27" customFormat="1">
      <c r="A9" s="4">
        <v>4</v>
      </c>
      <c r="B9" s="32" t="s">
        <v>55</v>
      </c>
      <c r="C9" s="69">
        <f>入力!C8</f>
        <v>0</v>
      </c>
      <c r="D9" s="37" t="s">
        <v>56</v>
      </c>
      <c r="E9" s="70">
        <f>入力!E8</f>
        <v>0</v>
      </c>
      <c r="F9" s="24">
        <f t="shared" si="0"/>
        <v>0</v>
      </c>
      <c r="G9" s="71">
        <f>入力!Y8</f>
        <v>0</v>
      </c>
      <c r="H9" s="25">
        <f t="shared" si="1"/>
        <v>0</v>
      </c>
      <c r="I9" s="26">
        <f t="shared" si="2"/>
        <v>0</v>
      </c>
      <c r="J9" s="43">
        <f>入力!Z8</f>
        <v>0</v>
      </c>
      <c r="K9" s="25">
        <f t="shared" si="3"/>
        <v>0</v>
      </c>
      <c r="L9" s="26">
        <f t="shared" si="4"/>
        <v>0</v>
      </c>
      <c r="M9" s="43">
        <f>入力!AA8</f>
        <v>0</v>
      </c>
      <c r="N9" s="25">
        <f t="shared" si="5"/>
        <v>0</v>
      </c>
      <c r="O9" s="26">
        <f t="shared" si="6"/>
        <v>0</v>
      </c>
      <c r="P9" s="43">
        <f>入力!AB8</f>
        <v>0</v>
      </c>
      <c r="Q9" s="25">
        <f t="shared" si="7"/>
        <v>0</v>
      </c>
      <c r="R9" s="23">
        <f t="shared" si="8"/>
        <v>0</v>
      </c>
      <c r="S9" s="72"/>
    </row>
    <row r="10" spans="1:20">
      <c r="A10" s="4">
        <v>5</v>
      </c>
      <c r="B10" s="32" t="s">
        <v>55</v>
      </c>
      <c r="C10" s="69">
        <f>入力!C9</f>
        <v>0</v>
      </c>
      <c r="D10" s="37" t="s">
        <v>56</v>
      </c>
      <c r="E10" s="70">
        <f>入力!E9</f>
        <v>0</v>
      </c>
      <c r="F10" s="24">
        <f t="shared" si="0"/>
        <v>0</v>
      </c>
      <c r="G10" s="71">
        <f>入力!Y9</f>
        <v>0</v>
      </c>
      <c r="H10" s="25">
        <f t="shared" si="1"/>
        <v>0</v>
      </c>
      <c r="I10" s="26">
        <f t="shared" si="2"/>
        <v>0</v>
      </c>
      <c r="J10" s="43">
        <f>入力!Z9</f>
        <v>0</v>
      </c>
      <c r="K10" s="25">
        <f t="shared" si="3"/>
        <v>0</v>
      </c>
      <c r="L10" s="26">
        <f t="shared" si="4"/>
        <v>0</v>
      </c>
      <c r="M10" s="43">
        <f>入力!AA9</f>
        <v>0</v>
      </c>
      <c r="N10" s="25">
        <f t="shared" si="5"/>
        <v>0</v>
      </c>
      <c r="O10" s="26">
        <f t="shared" si="6"/>
        <v>0</v>
      </c>
      <c r="P10" s="43">
        <f>入力!AB9</f>
        <v>0</v>
      </c>
      <c r="Q10" s="25">
        <f t="shared" si="7"/>
        <v>0</v>
      </c>
      <c r="R10" s="23">
        <f t="shared" si="8"/>
        <v>0</v>
      </c>
      <c r="S10" s="8"/>
      <c r="T10" s="4"/>
    </row>
    <row r="11" spans="1:20">
      <c r="A11" s="4">
        <v>6</v>
      </c>
      <c r="B11" s="32" t="s">
        <v>55</v>
      </c>
      <c r="C11" s="69">
        <f>入力!C10</f>
        <v>0</v>
      </c>
      <c r="D11" s="37" t="s">
        <v>56</v>
      </c>
      <c r="E11" s="70">
        <f>入力!E10</f>
        <v>0</v>
      </c>
      <c r="F11" s="24">
        <f t="shared" si="0"/>
        <v>0</v>
      </c>
      <c r="G11" s="71">
        <f>入力!Y10</f>
        <v>0</v>
      </c>
      <c r="H11" s="25">
        <f t="shared" si="1"/>
        <v>0</v>
      </c>
      <c r="I11" s="26">
        <f t="shared" si="2"/>
        <v>0</v>
      </c>
      <c r="J11" s="43">
        <f>入力!Z10</f>
        <v>0</v>
      </c>
      <c r="K11" s="25">
        <f t="shared" si="3"/>
        <v>0</v>
      </c>
      <c r="L11" s="26">
        <f t="shared" si="4"/>
        <v>0</v>
      </c>
      <c r="M11" s="43">
        <f>入力!AA10</f>
        <v>0</v>
      </c>
      <c r="N11" s="25">
        <f t="shared" si="5"/>
        <v>0</v>
      </c>
      <c r="O11" s="26">
        <f t="shared" si="6"/>
        <v>0</v>
      </c>
      <c r="P11" s="43">
        <f>入力!AB10</f>
        <v>0</v>
      </c>
      <c r="Q11" s="25">
        <f t="shared" si="7"/>
        <v>0</v>
      </c>
      <c r="R11" s="23">
        <f t="shared" si="8"/>
        <v>0</v>
      </c>
      <c r="S11" s="8"/>
      <c r="T11" s="4"/>
    </row>
    <row r="12" spans="1:20" s="27" customFormat="1">
      <c r="A12" s="4">
        <v>7</v>
      </c>
      <c r="B12" s="32" t="s">
        <v>55</v>
      </c>
      <c r="C12" s="69">
        <f>入力!C11</f>
        <v>0</v>
      </c>
      <c r="D12" s="37" t="s">
        <v>56</v>
      </c>
      <c r="E12" s="70">
        <f>入力!E11</f>
        <v>0</v>
      </c>
      <c r="F12" s="24">
        <f t="shared" si="0"/>
        <v>0</v>
      </c>
      <c r="G12" s="71">
        <f>入力!Y11</f>
        <v>0</v>
      </c>
      <c r="H12" s="25">
        <f t="shared" si="1"/>
        <v>0</v>
      </c>
      <c r="I12" s="26">
        <f t="shared" si="2"/>
        <v>0</v>
      </c>
      <c r="J12" s="43">
        <f>入力!Z11</f>
        <v>0</v>
      </c>
      <c r="K12" s="25">
        <f t="shared" si="3"/>
        <v>0</v>
      </c>
      <c r="L12" s="26">
        <f t="shared" si="4"/>
        <v>0</v>
      </c>
      <c r="M12" s="43">
        <f>入力!AA11</f>
        <v>0</v>
      </c>
      <c r="N12" s="25">
        <f t="shared" si="5"/>
        <v>0</v>
      </c>
      <c r="O12" s="26">
        <f t="shared" si="6"/>
        <v>0</v>
      </c>
      <c r="P12" s="43">
        <f>入力!AB11</f>
        <v>0</v>
      </c>
      <c r="Q12" s="25">
        <f t="shared" si="7"/>
        <v>0</v>
      </c>
      <c r="R12" s="23">
        <f t="shared" si="8"/>
        <v>0</v>
      </c>
      <c r="S12" s="72"/>
    </row>
    <row r="13" spans="1:20" s="27" customFormat="1">
      <c r="A13" s="4">
        <v>8</v>
      </c>
      <c r="B13" s="32" t="s">
        <v>55</v>
      </c>
      <c r="C13" s="69">
        <f>入力!C12</f>
        <v>0</v>
      </c>
      <c r="D13" s="37" t="s">
        <v>56</v>
      </c>
      <c r="E13" s="70">
        <f>入力!E12</f>
        <v>0</v>
      </c>
      <c r="F13" s="24">
        <f t="shared" si="0"/>
        <v>0</v>
      </c>
      <c r="G13" s="71">
        <f>入力!Y12</f>
        <v>0</v>
      </c>
      <c r="H13" s="25">
        <f t="shared" si="1"/>
        <v>0</v>
      </c>
      <c r="I13" s="26">
        <f t="shared" si="2"/>
        <v>0</v>
      </c>
      <c r="J13" s="43">
        <f>入力!Z12</f>
        <v>0</v>
      </c>
      <c r="K13" s="25">
        <f t="shared" si="3"/>
        <v>0</v>
      </c>
      <c r="L13" s="26">
        <f t="shared" si="4"/>
        <v>0</v>
      </c>
      <c r="M13" s="43">
        <f>入力!AA12</f>
        <v>0</v>
      </c>
      <c r="N13" s="25">
        <f t="shared" si="5"/>
        <v>0</v>
      </c>
      <c r="O13" s="26">
        <f t="shared" si="6"/>
        <v>0</v>
      </c>
      <c r="P13" s="43">
        <f>入力!AB12</f>
        <v>0</v>
      </c>
      <c r="Q13" s="25">
        <f t="shared" si="7"/>
        <v>0</v>
      </c>
      <c r="R13" s="23">
        <f t="shared" si="8"/>
        <v>0</v>
      </c>
      <c r="S13" s="72"/>
    </row>
    <row r="14" spans="1:20">
      <c r="A14" s="4">
        <v>9</v>
      </c>
      <c r="B14" s="32" t="s">
        <v>55</v>
      </c>
      <c r="C14" s="69">
        <f>入力!C13</f>
        <v>0</v>
      </c>
      <c r="D14" s="37" t="s">
        <v>56</v>
      </c>
      <c r="E14" s="70">
        <f>入力!E13</f>
        <v>0</v>
      </c>
      <c r="F14" s="24">
        <f t="shared" si="0"/>
        <v>0</v>
      </c>
      <c r="G14" s="71">
        <f>入力!Y13</f>
        <v>0</v>
      </c>
      <c r="H14" s="25">
        <f t="shared" si="1"/>
        <v>0</v>
      </c>
      <c r="I14" s="26">
        <f t="shared" si="2"/>
        <v>0</v>
      </c>
      <c r="J14" s="43">
        <f>入力!Z13</f>
        <v>0</v>
      </c>
      <c r="K14" s="25">
        <f t="shared" si="3"/>
        <v>0</v>
      </c>
      <c r="L14" s="26">
        <f t="shared" si="4"/>
        <v>0</v>
      </c>
      <c r="M14" s="43">
        <f>入力!AA13</f>
        <v>0</v>
      </c>
      <c r="N14" s="25">
        <f t="shared" si="5"/>
        <v>0</v>
      </c>
      <c r="O14" s="26">
        <f t="shared" si="6"/>
        <v>0</v>
      </c>
      <c r="P14" s="43">
        <f>入力!AB13</f>
        <v>0</v>
      </c>
      <c r="Q14" s="25">
        <f t="shared" si="7"/>
        <v>0</v>
      </c>
      <c r="R14" s="23">
        <f t="shared" si="8"/>
        <v>0</v>
      </c>
      <c r="S14" s="8"/>
      <c r="T14" s="4"/>
    </row>
    <row r="15" spans="1:20">
      <c r="A15" s="4">
        <v>10</v>
      </c>
      <c r="B15" s="32" t="s">
        <v>55</v>
      </c>
      <c r="C15" s="69">
        <f>入力!C14</f>
        <v>0</v>
      </c>
      <c r="D15" s="37" t="s">
        <v>56</v>
      </c>
      <c r="E15" s="70">
        <f>入力!E14</f>
        <v>0</v>
      </c>
      <c r="F15" s="24">
        <f t="shared" si="0"/>
        <v>0</v>
      </c>
      <c r="G15" s="71">
        <f>入力!Y14</f>
        <v>0</v>
      </c>
      <c r="H15" s="25">
        <f t="shared" si="1"/>
        <v>0</v>
      </c>
      <c r="I15" s="26">
        <f t="shared" si="2"/>
        <v>0</v>
      </c>
      <c r="J15" s="43">
        <f>入力!Z14</f>
        <v>0</v>
      </c>
      <c r="K15" s="25">
        <f t="shared" si="3"/>
        <v>0</v>
      </c>
      <c r="L15" s="26">
        <f t="shared" si="4"/>
        <v>0</v>
      </c>
      <c r="M15" s="43">
        <f>入力!AA14</f>
        <v>0</v>
      </c>
      <c r="N15" s="25">
        <f t="shared" si="5"/>
        <v>0</v>
      </c>
      <c r="O15" s="26">
        <f t="shared" si="6"/>
        <v>0</v>
      </c>
      <c r="P15" s="43">
        <f>入力!AB14</f>
        <v>0</v>
      </c>
      <c r="Q15" s="25">
        <f t="shared" si="7"/>
        <v>0</v>
      </c>
      <c r="R15" s="23">
        <f t="shared" si="8"/>
        <v>0</v>
      </c>
      <c r="S15" s="8"/>
      <c r="T15" s="4"/>
    </row>
    <row r="16" spans="1:20">
      <c r="A16" s="4">
        <v>11</v>
      </c>
      <c r="B16" s="32" t="s">
        <v>55</v>
      </c>
      <c r="C16" s="69">
        <f>入力!C15</f>
        <v>0</v>
      </c>
      <c r="D16" s="37" t="s">
        <v>56</v>
      </c>
      <c r="E16" s="70">
        <f>入力!E15</f>
        <v>0</v>
      </c>
      <c r="F16" s="24">
        <f t="shared" si="0"/>
        <v>0</v>
      </c>
      <c r="G16" s="71">
        <f>入力!Y15</f>
        <v>0</v>
      </c>
      <c r="H16" s="25">
        <f t="shared" si="1"/>
        <v>0</v>
      </c>
      <c r="I16" s="26">
        <f t="shared" si="2"/>
        <v>0</v>
      </c>
      <c r="J16" s="43">
        <f>入力!Z15</f>
        <v>0</v>
      </c>
      <c r="K16" s="25">
        <f t="shared" si="3"/>
        <v>0</v>
      </c>
      <c r="L16" s="26">
        <f t="shared" si="4"/>
        <v>0</v>
      </c>
      <c r="M16" s="43">
        <f>入力!AA15</f>
        <v>0</v>
      </c>
      <c r="N16" s="25">
        <f t="shared" si="5"/>
        <v>0</v>
      </c>
      <c r="O16" s="26">
        <f t="shared" si="6"/>
        <v>0</v>
      </c>
      <c r="P16" s="43">
        <f>入力!AB15</f>
        <v>0</v>
      </c>
      <c r="Q16" s="25">
        <f t="shared" si="7"/>
        <v>0</v>
      </c>
      <c r="R16" s="23">
        <f t="shared" si="8"/>
        <v>0</v>
      </c>
      <c r="S16" s="8"/>
      <c r="T16" s="4"/>
    </row>
    <row r="17" spans="1:20" s="27" customFormat="1">
      <c r="A17" s="4">
        <v>12</v>
      </c>
      <c r="B17" s="32" t="s">
        <v>55</v>
      </c>
      <c r="C17" s="69">
        <f>入力!C16</f>
        <v>0</v>
      </c>
      <c r="D17" s="37" t="s">
        <v>56</v>
      </c>
      <c r="E17" s="70">
        <f>入力!E16</f>
        <v>0</v>
      </c>
      <c r="F17" s="24">
        <f t="shared" si="0"/>
        <v>0</v>
      </c>
      <c r="G17" s="71">
        <f>入力!Y16</f>
        <v>0</v>
      </c>
      <c r="H17" s="25">
        <f t="shared" si="1"/>
        <v>0</v>
      </c>
      <c r="I17" s="26">
        <f t="shared" si="2"/>
        <v>0</v>
      </c>
      <c r="J17" s="43">
        <f>入力!Z16</f>
        <v>0</v>
      </c>
      <c r="K17" s="25">
        <f t="shared" si="3"/>
        <v>0</v>
      </c>
      <c r="L17" s="26">
        <f t="shared" si="4"/>
        <v>0</v>
      </c>
      <c r="M17" s="43">
        <f>入力!AA16</f>
        <v>0</v>
      </c>
      <c r="N17" s="25">
        <f t="shared" si="5"/>
        <v>0</v>
      </c>
      <c r="O17" s="26">
        <f t="shared" si="6"/>
        <v>0</v>
      </c>
      <c r="P17" s="43">
        <f>入力!AB16</f>
        <v>0</v>
      </c>
      <c r="Q17" s="25">
        <f t="shared" si="7"/>
        <v>0</v>
      </c>
      <c r="R17" s="23">
        <f t="shared" si="8"/>
        <v>0</v>
      </c>
      <c r="S17" s="72"/>
    </row>
    <row r="18" spans="1:20">
      <c r="A18" s="4">
        <v>13</v>
      </c>
      <c r="B18" s="32" t="s">
        <v>55</v>
      </c>
      <c r="C18" s="69">
        <f>入力!C17</f>
        <v>0</v>
      </c>
      <c r="D18" s="37" t="s">
        <v>56</v>
      </c>
      <c r="E18" s="70">
        <f>入力!E17</f>
        <v>0</v>
      </c>
      <c r="F18" s="24">
        <f t="shared" si="0"/>
        <v>0</v>
      </c>
      <c r="G18" s="71">
        <f>入力!Y17</f>
        <v>0</v>
      </c>
      <c r="H18" s="25">
        <f t="shared" si="1"/>
        <v>0</v>
      </c>
      <c r="I18" s="26">
        <f t="shared" si="2"/>
        <v>0</v>
      </c>
      <c r="J18" s="43">
        <f>入力!Z17</f>
        <v>0</v>
      </c>
      <c r="K18" s="25">
        <f t="shared" si="3"/>
        <v>0</v>
      </c>
      <c r="L18" s="26">
        <f t="shared" si="4"/>
        <v>0</v>
      </c>
      <c r="M18" s="43">
        <f>入力!AA17</f>
        <v>0</v>
      </c>
      <c r="N18" s="25">
        <f t="shared" si="5"/>
        <v>0</v>
      </c>
      <c r="O18" s="26">
        <f t="shared" si="6"/>
        <v>0</v>
      </c>
      <c r="P18" s="43">
        <f>入力!AB17</f>
        <v>0</v>
      </c>
      <c r="Q18" s="25">
        <f t="shared" si="7"/>
        <v>0</v>
      </c>
      <c r="R18" s="23">
        <f t="shared" si="8"/>
        <v>0</v>
      </c>
      <c r="S18" s="8"/>
      <c r="T18" s="4"/>
    </row>
    <row r="19" spans="1:20">
      <c r="A19" s="4">
        <v>14</v>
      </c>
      <c r="B19" s="32" t="s">
        <v>55</v>
      </c>
      <c r="C19" s="69">
        <f>入力!C18</f>
        <v>0</v>
      </c>
      <c r="D19" s="37" t="s">
        <v>56</v>
      </c>
      <c r="E19" s="70">
        <f>入力!E18</f>
        <v>0</v>
      </c>
      <c r="F19" s="24">
        <f t="shared" si="0"/>
        <v>0</v>
      </c>
      <c r="G19" s="71">
        <f>入力!Y18</f>
        <v>0</v>
      </c>
      <c r="H19" s="25">
        <f t="shared" si="1"/>
        <v>0</v>
      </c>
      <c r="I19" s="26">
        <f t="shared" si="2"/>
        <v>0</v>
      </c>
      <c r="J19" s="43">
        <f>入力!Z18</f>
        <v>0</v>
      </c>
      <c r="K19" s="25">
        <f t="shared" si="3"/>
        <v>0</v>
      </c>
      <c r="L19" s="26">
        <f t="shared" si="4"/>
        <v>0</v>
      </c>
      <c r="M19" s="43">
        <f>入力!AA18</f>
        <v>0</v>
      </c>
      <c r="N19" s="25">
        <f t="shared" si="5"/>
        <v>0</v>
      </c>
      <c r="O19" s="26">
        <f t="shared" si="6"/>
        <v>0</v>
      </c>
      <c r="P19" s="43">
        <f>入力!AB18</f>
        <v>0</v>
      </c>
      <c r="Q19" s="25">
        <f t="shared" si="7"/>
        <v>0</v>
      </c>
      <c r="R19" s="23">
        <f t="shared" si="8"/>
        <v>0</v>
      </c>
      <c r="S19" s="8"/>
      <c r="T19" s="4"/>
    </row>
    <row r="20" spans="1:20">
      <c r="A20" s="4">
        <v>15</v>
      </c>
      <c r="B20" s="32" t="s">
        <v>55</v>
      </c>
      <c r="C20" s="69">
        <f>入力!C19</f>
        <v>0</v>
      </c>
      <c r="D20" s="37" t="s">
        <v>56</v>
      </c>
      <c r="E20" s="70">
        <f>入力!E19</f>
        <v>0</v>
      </c>
      <c r="F20" s="24">
        <f t="shared" si="0"/>
        <v>0</v>
      </c>
      <c r="G20" s="71">
        <f>入力!Y19</f>
        <v>0</v>
      </c>
      <c r="H20" s="25">
        <f t="shared" si="1"/>
        <v>0</v>
      </c>
      <c r="I20" s="26">
        <f t="shared" si="2"/>
        <v>0</v>
      </c>
      <c r="J20" s="43">
        <f>入力!Z19</f>
        <v>0</v>
      </c>
      <c r="K20" s="25">
        <f t="shared" si="3"/>
        <v>0</v>
      </c>
      <c r="L20" s="26">
        <f t="shared" si="4"/>
        <v>0</v>
      </c>
      <c r="M20" s="43">
        <f>入力!AA19</f>
        <v>0</v>
      </c>
      <c r="N20" s="25">
        <f t="shared" si="5"/>
        <v>0</v>
      </c>
      <c r="O20" s="26">
        <f t="shared" si="6"/>
        <v>0</v>
      </c>
      <c r="P20" s="43">
        <f>入力!AB19</f>
        <v>0</v>
      </c>
      <c r="Q20" s="25">
        <f t="shared" si="7"/>
        <v>0</v>
      </c>
      <c r="R20" s="23">
        <f t="shared" si="8"/>
        <v>0</v>
      </c>
      <c r="S20" s="8"/>
      <c r="T20" s="4"/>
    </row>
    <row r="21" spans="1:20">
      <c r="A21" s="4">
        <v>16</v>
      </c>
      <c r="B21" s="32" t="s">
        <v>55</v>
      </c>
      <c r="C21" s="69">
        <f>入力!C20</f>
        <v>0</v>
      </c>
      <c r="D21" s="37" t="s">
        <v>56</v>
      </c>
      <c r="E21" s="70">
        <f>入力!E20</f>
        <v>0</v>
      </c>
      <c r="F21" s="24">
        <f t="shared" si="0"/>
        <v>0</v>
      </c>
      <c r="G21" s="71">
        <f>入力!Y20</f>
        <v>0</v>
      </c>
      <c r="H21" s="25">
        <f t="shared" si="1"/>
        <v>0</v>
      </c>
      <c r="I21" s="26">
        <f t="shared" si="2"/>
        <v>0</v>
      </c>
      <c r="J21" s="43">
        <f>入力!Z20</f>
        <v>0</v>
      </c>
      <c r="K21" s="25">
        <f t="shared" si="3"/>
        <v>0</v>
      </c>
      <c r="L21" s="26">
        <f t="shared" si="4"/>
        <v>0</v>
      </c>
      <c r="M21" s="43">
        <f>入力!AA20</f>
        <v>0</v>
      </c>
      <c r="N21" s="25">
        <f t="shared" si="5"/>
        <v>0</v>
      </c>
      <c r="O21" s="26">
        <f t="shared" si="6"/>
        <v>0</v>
      </c>
      <c r="P21" s="43">
        <f>入力!AB20</f>
        <v>0</v>
      </c>
      <c r="Q21" s="25">
        <f t="shared" si="7"/>
        <v>0</v>
      </c>
      <c r="R21" s="23">
        <f t="shared" si="8"/>
        <v>0</v>
      </c>
      <c r="S21" s="8"/>
      <c r="T21" s="4"/>
    </row>
    <row r="22" spans="1:20">
      <c r="A22" s="4">
        <v>17</v>
      </c>
      <c r="B22" s="32" t="s">
        <v>55</v>
      </c>
      <c r="C22" s="69">
        <f>入力!C21</f>
        <v>0</v>
      </c>
      <c r="D22" s="37" t="s">
        <v>56</v>
      </c>
      <c r="E22" s="70">
        <f>入力!E21</f>
        <v>0</v>
      </c>
      <c r="F22" s="24">
        <f t="shared" si="0"/>
        <v>0</v>
      </c>
      <c r="G22" s="71">
        <f>入力!Y21</f>
        <v>0</v>
      </c>
      <c r="H22" s="25">
        <f t="shared" si="1"/>
        <v>0</v>
      </c>
      <c r="I22" s="26">
        <f t="shared" si="2"/>
        <v>0</v>
      </c>
      <c r="J22" s="43">
        <f>入力!Z21</f>
        <v>0</v>
      </c>
      <c r="K22" s="25">
        <f t="shared" si="3"/>
        <v>0</v>
      </c>
      <c r="L22" s="26">
        <f t="shared" si="4"/>
        <v>0</v>
      </c>
      <c r="M22" s="43">
        <f>入力!AA21</f>
        <v>0</v>
      </c>
      <c r="N22" s="25">
        <f t="shared" si="5"/>
        <v>0</v>
      </c>
      <c r="O22" s="26">
        <f t="shared" si="6"/>
        <v>0</v>
      </c>
      <c r="P22" s="43">
        <f>入力!AB21</f>
        <v>0</v>
      </c>
      <c r="Q22" s="25">
        <f t="shared" si="7"/>
        <v>0</v>
      </c>
      <c r="R22" s="23">
        <f t="shared" si="8"/>
        <v>0</v>
      </c>
      <c r="S22" s="8"/>
      <c r="T22" s="4"/>
    </row>
    <row r="23" spans="1:20" s="27" customFormat="1">
      <c r="A23" s="4">
        <v>18</v>
      </c>
      <c r="B23" s="32" t="s">
        <v>55</v>
      </c>
      <c r="C23" s="69">
        <f>入力!C22</f>
        <v>0</v>
      </c>
      <c r="D23" s="37" t="s">
        <v>56</v>
      </c>
      <c r="E23" s="70">
        <f>入力!E22</f>
        <v>0</v>
      </c>
      <c r="F23" s="24">
        <f t="shared" si="0"/>
        <v>0</v>
      </c>
      <c r="G23" s="71">
        <f>入力!Y22</f>
        <v>0</v>
      </c>
      <c r="H23" s="25">
        <f t="shared" si="1"/>
        <v>0</v>
      </c>
      <c r="I23" s="26">
        <f t="shared" si="2"/>
        <v>0</v>
      </c>
      <c r="J23" s="43">
        <f>入力!Z22</f>
        <v>0</v>
      </c>
      <c r="K23" s="25">
        <f t="shared" si="3"/>
        <v>0</v>
      </c>
      <c r="L23" s="26">
        <f t="shared" si="4"/>
        <v>0</v>
      </c>
      <c r="M23" s="43">
        <f>入力!AA22</f>
        <v>0</v>
      </c>
      <c r="N23" s="25">
        <f t="shared" si="5"/>
        <v>0</v>
      </c>
      <c r="O23" s="26">
        <f t="shared" si="6"/>
        <v>0</v>
      </c>
      <c r="P23" s="43">
        <f>入力!AB22</f>
        <v>0</v>
      </c>
      <c r="Q23" s="25">
        <f t="shared" si="7"/>
        <v>0</v>
      </c>
      <c r="R23" s="23">
        <f t="shared" si="8"/>
        <v>0</v>
      </c>
      <c r="S23" s="72"/>
    </row>
    <row r="24" spans="1:20">
      <c r="A24" s="4">
        <v>19</v>
      </c>
      <c r="B24" s="32" t="s">
        <v>55</v>
      </c>
      <c r="C24" s="69">
        <f>入力!C23</f>
        <v>0</v>
      </c>
      <c r="D24" s="37" t="s">
        <v>56</v>
      </c>
      <c r="E24" s="70">
        <f>入力!E23</f>
        <v>0</v>
      </c>
      <c r="F24" s="24">
        <f t="shared" si="0"/>
        <v>0</v>
      </c>
      <c r="G24" s="71">
        <f>入力!Y23</f>
        <v>0</v>
      </c>
      <c r="H24" s="25">
        <f t="shared" si="1"/>
        <v>0</v>
      </c>
      <c r="I24" s="26">
        <f t="shared" si="2"/>
        <v>0</v>
      </c>
      <c r="J24" s="43">
        <f>入力!Z23</f>
        <v>0</v>
      </c>
      <c r="K24" s="25">
        <f t="shared" si="3"/>
        <v>0</v>
      </c>
      <c r="L24" s="26">
        <f t="shared" si="4"/>
        <v>0</v>
      </c>
      <c r="M24" s="43">
        <f>入力!AA23</f>
        <v>0</v>
      </c>
      <c r="N24" s="25">
        <f t="shared" si="5"/>
        <v>0</v>
      </c>
      <c r="O24" s="26">
        <f t="shared" si="6"/>
        <v>0</v>
      </c>
      <c r="P24" s="43">
        <f>入力!AB23</f>
        <v>0</v>
      </c>
      <c r="Q24" s="25">
        <f t="shared" si="7"/>
        <v>0</v>
      </c>
      <c r="R24" s="23">
        <f t="shared" si="8"/>
        <v>0</v>
      </c>
      <c r="S24" s="8"/>
      <c r="T24" s="73"/>
    </row>
    <row r="25" spans="1:20">
      <c r="A25" s="4">
        <v>20</v>
      </c>
      <c r="B25" s="32" t="s">
        <v>55</v>
      </c>
      <c r="C25" s="69">
        <f>入力!C24</f>
        <v>0</v>
      </c>
      <c r="D25" s="37" t="s">
        <v>56</v>
      </c>
      <c r="E25" s="70">
        <f>入力!E24</f>
        <v>0</v>
      </c>
      <c r="F25" s="24">
        <f t="shared" si="0"/>
        <v>0</v>
      </c>
      <c r="G25" s="71">
        <f>入力!Y24</f>
        <v>0</v>
      </c>
      <c r="H25" s="25">
        <f t="shared" si="1"/>
        <v>0</v>
      </c>
      <c r="I25" s="26">
        <f t="shared" si="2"/>
        <v>0</v>
      </c>
      <c r="J25" s="43">
        <f>入力!Z24</f>
        <v>0</v>
      </c>
      <c r="K25" s="25">
        <f t="shared" si="3"/>
        <v>0</v>
      </c>
      <c r="L25" s="26">
        <f t="shared" si="4"/>
        <v>0</v>
      </c>
      <c r="M25" s="43">
        <f>入力!AA24</f>
        <v>0</v>
      </c>
      <c r="N25" s="25">
        <f t="shared" si="5"/>
        <v>0</v>
      </c>
      <c r="O25" s="26">
        <f t="shared" si="6"/>
        <v>0</v>
      </c>
      <c r="P25" s="43">
        <f>入力!AB24</f>
        <v>0</v>
      </c>
      <c r="Q25" s="25">
        <f t="shared" si="7"/>
        <v>0</v>
      </c>
      <c r="R25" s="23">
        <f t="shared" si="8"/>
        <v>0</v>
      </c>
      <c r="S25" s="8"/>
      <c r="T25" s="4"/>
    </row>
    <row r="26" spans="1:20">
      <c r="A26" s="4">
        <v>21</v>
      </c>
      <c r="B26" s="32" t="s">
        <v>55</v>
      </c>
      <c r="C26" s="69">
        <f>入力!C25</f>
        <v>0</v>
      </c>
      <c r="D26" s="37" t="s">
        <v>56</v>
      </c>
      <c r="E26" s="70">
        <f>入力!E25</f>
        <v>0</v>
      </c>
      <c r="F26" s="24">
        <f t="shared" si="0"/>
        <v>0</v>
      </c>
      <c r="G26" s="71">
        <f>入力!Y25</f>
        <v>0</v>
      </c>
      <c r="H26" s="25">
        <f t="shared" si="1"/>
        <v>0</v>
      </c>
      <c r="I26" s="26">
        <f t="shared" si="2"/>
        <v>0</v>
      </c>
      <c r="J26" s="43">
        <f>入力!Z25</f>
        <v>0</v>
      </c>
      <c r="K26" s="25">
        <f t="shared" si="3"/>
        <v>0</v>
      </c>
      <c r="L26" s="26">
        <f t="shared" si="4"/>
        <v>0</v>
      </c>
      <c r="M26" s="43">
        <f>入力!AA25</f>
        <v>0</v>
      </c>
      <c r="N26" s="25">
        <f t="shared" si="5"/>
        <v>0</v>
      </c>
      <c r="O26" s="26">
        <f t="shared" si="6"/>
        <v>0</v>
      </c>
      <c r="P26" s="43">
        <f>入力!AB25</f>
        <v>0</v>
      </c>
      <c r="Q26" s="25">
        <f t="shared" si="7"/>
        <v>0</v>
      </c>
      <c r="R26" s="23">
        <f t="shared" si="8"/>
        <v>0</v>
      </c>
      <c r="S26" s="8"/>
      <c r="T26" s="4"/>
    </row>
    <row r="27" spans="1:20" s="27" customFormat="1">
      <c r="A27" s="4">
        <v>22</v>
      </c>
      <c r="B27" s="32" t="s">
        <v>55</v>
      </c>
      <c r="C27" s="69">
        <f>入力!C26</f>
        <v>0</v>
      </c>
      <c r="D27" s="37" t="s">
        <v>56</v>
      </c>
      <c r="E27" s="70">
        <f>入力!E26</f>
        <v>0</v>
      </c>
      <c r="F27" s="24">
        <f t="shared" si="0"/>
        <v>0</v>
      </c>
      <c r="G27" s="71">
        <f>入力!Y26</f>
        <v>0</v>
      </c>
      <c r="H27" s="25">
        <f t="shared" si="1"/>
        <v>0</v>
      </c>
      <c r="I27" s="26">
        <f t="shared" si="2"/>
        <v>0</v>
      </c>
      <c r="J27" s="43">
        <f>入力!Z26</f>
        <v>0</v>
      </c>
      <c r="K27" s="25">
        <f t="shared" si="3"/>
        <v>0</v>
      </c>
      <c r="L27" s="26">
        <f t="shared" si="4"/>
        <v>0</v>
      </c>
      <c r="M27" s="43">
        <f>入力!AA26</f>
        <v>0</v>
      </c>
      <c r="N27" s="25">
        <f t="shared" si="5"/>
        <v>0</v>
      </c>
      <c r="O27" s="26">
        <f t="shared" si="6"/>
        <v>0</v>
      </c>
      <c r="P27" s="43">
        <f>入力!AB26</f>
        <v>0</v>
      </c>
      <c r="Q27" s="25">
        <f t="shared" si="7"/>
        <v>0</v>
      </c>
      <c r="R27" s="23">
        <f t="shared" si="8"/>
        <v>0</v>
      </c>
      <c r="S27" s="72"/>
    </row>
    <row r="28" spans="1:20">
      <c r="A28" s="4">
        <v>23</v>
      </c>
      <c r="B28" s="32" t="s">
        <v>55</v>
      </c>
      <c r="C28" s="69">
        <f>入力!C27</f>
        <v>0</v>
      </c>
      <c r="D28" s="37" t="s">
        <v>56</v>
      </c>
      <c r="E28" s="70">
        <f>入力!E27</f>
        <v>0</v>
      </c>
      <c r="F28" s="24">
        <f t="shared" si="0"/>
        <v>0</v>
      </c>
      <c r="G28" s="71">
        <f>入力!Y27</f>
        <v>0</v>
      </c>
      <c r="H28" s="25">
        <f t="shared" si="1"/>
        <v>0</v>
      </c>
      <c r="I28" s="26">
        <f t="shared" si="2"/>
        <v>0</v>
      </c>
      <c r="J28" s="43">
        <f>入力!Z27</f>
        <v>0</v>
      </c>
      <c r="K28" s="25">
        <f t="shared" si="3"/>
        <v>0</v>
      </c>
      <c r="L28" s="26">
        <f t="shared" si="4"/>
        <v>0</v>
      </c>
      <c r="M28" s="43">
        <f>入力!AA27</f>
        <v>0</v>
      </c>
      <c r="N28" s="25">
        <f t="shared" si="5"/>
        <v>0</v>
      </c>
      <c r="O28" s="26">
        <f t="shared" si="6"/>
        <v>0</v>
      </c>
      <c r="P28" s="43">
        <f>入力!AB27</f>
        <v>0</v>
      </c>
      <c r="Q28" s="25">
        <f t="shared" si="7"/>
        <v>0</v>
      </c>
      <c r="R28" s="23">
        <f t="shared" si="8"/>
        <v>0</v>
      </c>
      <c r="S28" s="8"/>
      <c r="T28" s="4"/>
    </row>
    <row r="29" spans="1:20">
      <c r="A29" s="4">
        <v>24</v>
      </c>
      <c r="B29" s="32" t="s">
        <v>55</v>
      </c>
      <c r="C29" s="69">
        <f>入力!C28</f>
        <v>0</v>
      </c>
      <c r="D29" s="37" t="s">
        <v>56</v>
      </c>
      <c r="E29" s="70">
        <f>入力!E28</f>
        <v>0</v>
      </c>
      <c r="F29" s="24">
        <f t="shared" si="0"/>
        <v>0</v>
      </c>
      <c r="G29" s="71">
        <f>入力!Y28</f>
        <v>0</v>
      </c>
      <c r="H29" s="25">
        <f t="shared" si="1"/>
        <v>0</v>
      </c>
      <c r="I29" s="26">
        <f t="shared" si="2"/>
        <v>0</v>
      </c>
      <c r="J29" s="43">
        <f>入力!Z28</f>
        <v>0</v>
      </c>
      <c r="K29" s="25">
        <f t="shared" si="3"/>
        <v>0</v>
      </c>
      <c r="L29" s="26">
        <f t="shared" si="4"/>
        <v>0</v>
      </c>
      <c r="M29" s="43">
        <f>入力!AA28</f>
        <v>0</v>
      </c>
      <c r="N29" s="25">
        <f t="shared" si="5"/>
        <v>0</v>
      </c>
      <c r="O29" s="26">
        <f t="shared" si="6"/>
        <v>0</v>
      </c>
      <c r="P29" s="43">
        <f>入力!AB28</f>
        <v>0</v>
      </c>
      <c r="Q29" s="25">
        <f t="shared" si="7"/>
        <v>0</v>
      </c>
      <c r="R29" s="23">
        <f t="shared" si="8"/>
        <v>0</v>
      </c>
      <c r="S29" s="8"/>
      <c r="T29" s="4"/>
    </row>
    <row r="30" spans="1:20">
      <c r="A30" s="4">
        <v>25</v>
      </c>
      <c r="B30" s="32" t="s">
        <v>55</v>
      </c>
      <c r="C30" s="69">
        <f>入力!C29</f>
        <v>0</v>
      </c>
      <c r="D30" s="37" t="s">
        <v>56</v>
      </c>
      <c r="E30" s="70">
        <f>入力!E29</f>
        <v>0</v>
      </c>
      <c r="F30" s="24">
        <f t="shared" si="0"/>
        <v>0</v>
      </c>
      <c r="G30" s="71">
        <f>入力!Y29</f>
        <v>0</v>
      </c>
      <c r="H30" s="25">
        <f t="shared" si="1"/>
        <v>0</v>
      </c>
      <c r="I30" s="26">
        <f t="shared" si="2"/>
        <v>0</v>
      </c>
      <c r="J30" s="43">
        <f>入力!Z29</f>
        <v>0</v>
      </c>
      <c r="K30" s="25">
        <f t="shared" si="3"/>
        <v>0</v>
      </c>
      <c r="L30" s="26">
        <f t="shared" si="4"/>
        <v>0</v>
      </c>
      <c r="M30" s="43">
        <f>入力!AA29</f>
        <v>0</v>
      </c>
      <c r="N30" s="25">
        <f t="shared" si="5"/>
        <v>0</v>
      </c>
      <c r="O30" s="26">
        <f t="shared" si="6"/>
        <v>0</v>
      </c>
      <c r="P30" s="43">
        <f>入力!AB29</f>
        <v>0</v>
      </c>
      <c r="Q30" s="25">
        <f t="shared" si="7"/>
        <v>0</v>
      </c>
      <c r="R30" s="23">
        <f t="shared" si="8"/>
        <v>0</v>
      </c>
      <c r="S30" s="8"/>
      <c r="T30" s="4"/>
    </row>
    <row r="31" spans="1:20">
      <c r="A31" s="4">
        <v>26</v>
      </c>
      <c r="B31" s="32"/>
      <c r="C31" s="69"/>
      <c r="D31" s="37"/>
      <c r="E31" s="70"/>
      <c r="F31" s="24"/>
      <c r="G31" s="71"/>
      <c r="H31" s="25"/>
      <c r="I31" s="26"/>
      <c r="J31" s="43"/>
      <c r="K31" s="25"/>
      <c r="L31" s="26"/>
      <c r="M31" s="43"/>
      <c r="N31" s="25"/>
      <c r="O31" s="26"/>
      <c r="P31" s="43"/>
      <c r="Q31" s="25"/>
      <c r="R31" s="23"/>
      <c r="S31" s="8"/>
      <c r="T31" s="4"/>
    </row>
    <row r="32" spans="1:20">
      <c r="A32" s="4">
        <v>27</v>
      </c>
      <c r="B32" s="32"/>
      <c r="C32" s="69"/>
      <c r="D32" s="37"/>
      <c r="E32" s="70"/>
      <c r="F32" s="24"/>
      <c r="G32" s="71"/>
      <c r="H32" s="25"/>
      <c r="I32" s="26"/>
      <c r="J32" s="43"/>
      <c r="K32" s="25"/>
      <c r="L32" s="26"/>
      <c r="M32" s="43"/>
      <c r="N32" s="25"/>
      <c r="O32" s="26"/>
      <c r="P32" s="43"/>
      <c r="Q32" s="25"/>
      <c r="R32" s="23"/>
      <c r="S32" s="8"/>
      <c r="T32" s="4"/>
    </row>
    <row r="33" spans="1:20" s="27" customFormat="1">
      <c r="A33" s="4">
        <v>28</v>
      </c>
      <c r="B33" s="32"/>
      <c r="C33" s="69"/>
      <c r="D33" s="37"/>
      <c r="E33" s="70"/>
      <c r="F33" s="24"/>
      <c r="G33" s="71"/>
      <c r="H33" s="25"/>
      <c r="I33" s="26"/>
      <c r="J33" s="43"/>
      <c r="K33" s="25"/>
      <c r="L33" s="26"/>
      <c r="M33" s="43"/>
      <c r="N33" s="25"/>
      <c r="O33" s="26"/>
      <c r="P33" s="43"/>
      <c r="Q33" s="25"/>
      <c r="R33" s="23"/>
      <c r="S33" s="72"/>
    </row>
    <row r="34" spans="1:20">
      <c r="A34" s="4">
        <v>29</v>
      </c>
      <c r="B34" s="32"/>
      <c r="C34" s="69"/>
      <c r="D34" s="37"/>
      <c r="E34" s="70"/>
      <c r="F34" s="24"/>
      <c r="G34" s="71"/>
      <c r="H34" s="25"/>
      <c r="I34" s="26"/>
      <c r="J34" s="43"/>
      <c r="K34" s="25"/>
      <c r="L34" s="26"/>
      <c r="M34" s="43"/>
      <c r="N34" s="25"/>
      <c r="O34" s="26"/>
      <c r="P34" s="43"/>
      <c r="Q34" s="25"/>
      <c r="R34" s="23"/>
      <c r="S34" s="8"/>
      <c r="T34" s="4"/>
    </row>
    <row r="35" spans="1:20">
      <c r="A35" s="4">
        <v>30</v>
      </c>
      <c r="B35" s="32"/>
      <c r="C35" s="69"/>
      <c r="D35" s="37"/>
      <c r="E35" s="70"/>
      <c r="F35" s="24"/>
      <c r="G35" s="71"/>
      <c r="H35" s="25"/>
      <c r="I35" s="26"/>
      <c r="J35" s="43"/>
      <c r="K35" s="25"/>
      <c r="L35" s="26"/>
      <c r="M35" s="43"/>
      <c r="N35" s="25"/>
      <c r="O35" s="26"/>
      <c r="P35" s="43"/>
      <c r="Q35" s="25"/>
      <c r="R35" s="23"/>
      <c r="S35" s="8"/>
      <c r="T35" s="4"/>
    </row>
    <row r="36" spans="1:20">
      <c r="A36" s="4">
        <v>31</v>
      </c>
      <c r="B36" s="32"/>
      <c r="C36" s="69"/>
      <c r="D36" s="37"/>
      <c r="E36" s="70"/>
      <c r="F36" s="24"/>
      <c r="G36" s="71"/>
      <c r="H36" s="25"/>
      <c r="I36" s="26"/>
      <c r="J36" s="43"/>
      <c r="K36" s="25"/>
      <c r="L36" s="26"/>
      <c r="M36" s="43"/>
      <c r="N36" s="25"/>
      <c r="O36" s="26"/>
      <c r="P36" s="43"/>
      <c r="Q36" s="25"/>
      <c r="R36" s="23"/>
      <c r="S36" s="8"/>
      <c r="T36" s="4"/>
    </row>
    <row r="37" spans="1:20">
      <c r="A37" s="4">
        <v>32</v>
      </c>
      <c r="B37" s="32"/>
      <c r="C37" s="69"/>
      <c r="D37" s="37"/>
      <c r="E37" s="70"/>
      <c r="F37" s="24"/>
      <c r="G37" s="71"/>
      <c r="H37" s="25"/>
      <c r="I37" s="26"/>
      <c r="J37" s="43"/>
      <c r="K37" s="25"/>
      <c r="L37" s="26"/>
      <c r="M37" s="43"/>
      <c r="N37" s="25"/>
      <c r="O37" s="26"/>
      <c r="P37" s="43"/>
      <c r="Q37" s="25"/>
      <c r="R37" s="23"/>
      <c r="S37" s="8"/>
      <c r="T37" s="4"/>
    </row>
    <row r="38" spans="1:20">
      <c r="A38" s="4">
        <v>33</v>
      </c>
      <c r="B38" s="32"/>
      <c r="C38" s="69"/>
      <c r="D38" s="37"/>
      <c r="E38" s="70"/>
      <c r="F38" s="24"/>
      <c r="G38" s="71"/>
      <c r="H38" s="25"/>
      <c r="I38" s="26"/>
      <c r="J38" s="43"/>
      <c r="K38" s="25"/>
      <c r="L38" s="26"/>
      <c r="M38" s="43"/>
      <c r="N38" s="25"/>
      <c r="O38" s="26"/>
      <c r="P38" s="43"/>
      <c r="Q38" s="25"/>
      <c r="R38" s="23"/>
      <c r="S38" s="8"/>
      <c r="T38" s="4"/>
    </row>
    <row r="39" spans="1:20" ht="12.6" customHeight="1" thickBot="1">
      <c r="A39" s="4">
        <v>34</v>
      </c>
      <c r="B39" s="32"/>
      <c r="C39" s="69"/>
      <c r="D39" s="37"/>
      <c r="E39" s="70"/>
      <c r="F39" s="24"/>
      <c r="G39" s="71"/>
      <c r="H39" s="25"/>
      <c r="I39" s="26"/>
      <c r="J39" s="43"/>
      <c r="K39" s="25"/>
      <c r="L39" s="26"/>
      <c r="M39" s="43"/>
      <c r="N39" s="25"/>
      <c r="O39" s="26"/>
      <c r="P39" s="43"/>
      <c r="Q39" s="25"/>
      <c r="R39" s="23"/>
      <c r="S39" s="8"/>
      <c r="T39" s="4"/>
    </row>
    <row r="40" spans="1:20" ht="12.6" customHeight="1" thickTop="1">
      <c r="B40" s="74"/>
      <c r="C40" s="75" t="s">
        <v>57</v>
      </c>
      <c r="D40" s="76"/>
      <c r="E40" s="49" t="s">
        <v>58</v>
      </c>
      <c r="F40" s="40" t="str">
        <f>IF(SUM(F6:F39)=0,"",SUM(F6:F39))</f>
        <v/>
      </c>
      <c r="G40" s="46"/>
      <c r="H40" s="33"/>
      <c r="I40" s="40">
        <f>SUM(I7:I39)</f>
        <v>0</v>
      </c>
      <c r="J40" s="77"/>
      <c r="K40" s="33"/>
      <c r="L40" s="40">
        <f>SUM(L7:L39)</f>
        <v>0</v>
      </c>
      <c r="M40" s="48"/>
      <c r="N40" s="33"/>
      <c r="O40" s="40">
        <f>SUM(O7:O39)</f>
        <v>0</v>
      </c>
      <c r="P40" s="48"/>
      <c r="Q40" s="33"/>
      <c r="R40" s="47">
        <f>SUM(R7:R39)</f>
        <v>0</v>
      </c>
      <c r="S40" s="8"/>
      <c r="T40" s="4"/>
    </row>
    <row r="41" spans="1:20">
      <c r="B41" s="195"/>
      <c r="C41" s="196" t="s">
        <v>75</v>
      </c>
      <c r="D41" s="197"/>
      <c r="E41" s="196" t="s">
        <v>58</v>
      </c>
      <c r="F41" s="198" t="str">
        <f>F40</f>
        <v/>
      </c>
      <c r="G41" s="201"/>
      <c r="H41" s="202"/>
      <c r="I41" s="198">
        <f>I40</f>
        <v>0</v>
      </c>
      <c r="J41" s="205"/>
      <c r="K41" s="202"/>
      <c r="L41" s="198">
        <f>L40</f>
        <v>0</v>
      </c>
      <c r="M41" s="206"/>
      <c r="N41" s="202"/>
      <c r="O41" s="198">
        <f>O40</f>
        <v>0</v>
      </c>
      <c r="P41" s="206"/>
      <c r="Q41" s="202"/>
      <c r="R41" s="207">
        <f>R40</f>
        <v>0</v>
      </c>
      <c r="S41" s="8"/>
      <c r="T41" s="4"/>
    </row>
    <row r="42" spans="1:20">
      <c r="B42" s="78"/>
      <c r="C42" s="30" t="s">
        <v>76</v>
      </c>
      <c r="D42" s="29"/>
      <c r="E42" s="200" t="s">
        <v>58</v>
      </c>
      <c r="F42" s="199"/>
      <c r="G42" s="203"/>
      <c r="H42" s="204"/>
      <c r="I42" s="199"/>
      <c r="J42" s="203"/>
      <c r="K42" s="204"/>
      <c r="L42" s="199">
        <f>I41+L41</f>
        <v>0</v>
      </c>
      <c r="M42" s="203"/>
      <c r="N42" s="204"/>
      <c r="O42" s="199"/>
      <c r="P42" s="208"/>
      <c r="Q42" s="204"/>
      <c r="R42" s="209">
        <f>O41+R41</f>
        <v>0</v>
      </c>
      <c r="T42" s="4"/>
    </row>
  </sheetData>
  <mergeCells count="4">
    <mergeCell ref="J3:L3"/>
    <mergeCell ref="P3:R3"/>
    <mergeCell ref="G3:I3"/>
    <mergeCell ref="M3:O3"/>
  </mergeCells>
  <phoneticPr fontId="24"/>
  <printOptions horizontalCentered="1" verticalCentered="1" gridLinesSet="0"/>
  <pageMargins left="0.31496062992125978" right="0.19685039370078741" top="1.03" bottom="0.31496062992125978" header="1.19" footer="0.36"/>
  <pageSetup paperSize="9" scale="99" orientation="landscape" blackAndWhite="1" horizontalDpi="4294967292" verticalDpi="300" r:id="rId1"/>
  <headerFooter alignWithMargins="0">
    <oddHeader>&amp;R&amp;P／&amp;N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T42"/>
  <sheetViews>
    <sheetView view="pageBreakPreview" zoomScale="130" zoomScaleNormal="100" zoomScaleSheetLayoutView="130" workbookViewId="0">
      <selection activeCell="J7" sqref="J7"/>
    </sheetView>
  </sheetViews>
  <sheetFormatPr defaultColWidth="10.7109375" defaultRowHeight="12"/>
  <cols>
    <col min="1" max="2" width="4.7109375" style="4" customWidth="1"/>
    <col min="3" max="3" width="5.7109375" style="4" customWidth="1"/>
    <col min="4" max="4" width="2.5703125" style="4" customWidth="1"/>
    <col min="5" max="5" width="9.5703125" style="4" bestFit="1" customWidth="1"/>
    <col min="6" max="6" width="10.140625" style="4" bestFit="1" customWidth="1"/>
    <col min="7" max="7" width="10.7109375" style="81" customWidth="1"/>
    <col min="8" max="8" width="8.7109375" style="4" customWidth="1"/>
    <col min="9" max="9" width="9.7109375" style="4" customWidth="1"/>
    <col min="10" max="10" width="9.7109375" style="81" customWidth="1"/>
    <col min="11" max="11" width="8.7109375" style="82" customWidth="1"/>
    <col min="12" max="13" width="9.7109375" style="4" customWidth="1"/>
    <col min="14" max="14" width="8.7109375" style="82" customWidth="1"/>
    <col min="15" max="15" width="9.7109375" style="4" customWidth="1"/>
    <col min="16" max="16" width="9.5703125" style="4" customWidth="1"/>
    <col min="17" max="17" width="8.7109375" style="82" customWidth="1"/>
    <col min="18" max="19" width="9.7109375" style="4" customWidth="1"/>
    <col min="20" max="20" width="8.7109375" style="82" customWidth="1"/>
    <col min="21" max="22" width="9.7109375" style="4" customWidth="1"/>
    <col min="23" max="23" width="11" style="4" customWidth="1"/>
    <col min="24" max="24" width="10.7109375" style="4" customWidth="1"/>
    <col min="25" max="16384" width="10.7109375" style="4"/>
  </cols>
  <sheetData>
    <row r="1" spans="1:20" ht="16.5" customHeight="1">
      <c r="A1" s="55"/>
      <c r="B1" s="56" t="s">
        <v>77</v>
      </c>
      <c r="C1" s="54"/>
      <c r="D1" s="54"/>
      <c r="E1" s="54"/>
      <c r="F1" s="57"/>
      <c r="G1" s="58"/>
      <c r="H1" s="54"/>
      <c r="I1" s="54"/>
      <c r="J1" s="58"/>
      <c r="K1" s="54"/>
      <c r="L1" s="3"/>
      <c r="M1" s="59"/>
      <c r="N1" s="54"/>
      <c r="O1" s="54"/>
      <c r="P1" s="59"/>
      <c r="Q1" s="54"/>
      <c r="R1" s="54"/>
      <c r="T1" s="4"/>
    </row>
    <row r="2" spans="1:20" ht="12.95" customHeight="1">
      <c r="A2" s="55"/>
      <c r="B2" s="60"/>
      <c r="C2" s="54"/>
      <c r="D2" s="54"/>
      <c r="E2" s="54"/>
      <c r="F2" s="57"/>
      <c r="G2" s="58"/>
      <c r="H2" s="54"/>
      <c r="I2" s="54"/>
      <c r="J2" s="58"/>
      <c r="K2" s="54"/>
      <c r="L2" s="3"/>
      <c r="M2" s="59"/>
      <c r="N2" s="54"/>
      <c r="O2" s="54"/>
      <c r="P2" s="59"/>
      <c r="Q2" s="61"/>
      <c r="R2" s="62"/>
      <c r="T2" s="4"/>
    </row>
    <row r="3" spans="1:20">
      <c r="B3" s="5" t="s">
        <v>46</v>
      </c>
      <c r="C3" s="6"/>
      <c r="D3" s="6"/>
      <c r="E3" s="6"/>
      <c r="F3" s="7" t="s">
        <v>47</v>
      </c>
      <c r="G3" s="251" t="s">
        <v>39</v>
      </c>
      <c r="H3" s="247"/>
      <c r="I3" s="248"/>
      <c r="J3" s="246" t="s">
        <v>78</v>
      </c>
      <c r="K3" s="247"/>
      <c r="L3" s="248"/>
      <c r="M3" s="251"/>
      <c r="N3" s="247"/>
      <c r="O3" s="248"/>
      <c r="P3" s="249" t="str">
        <f>IF(入力!P2="","",入力!P2)</f>
        <v/>
      </c>
      <c r="Q3" s="247"/>
      <c r="R3" s="250"/>
      <c r="S3" s="8"/>
      <c r="T3" s="4"/>
    </row>
    <row r="4" spans="1:20">
      <c r="B4" s="8"/>
      <c r="E4" s="9"/>
      <c r="F4" s="10"/>
      <c r="G4" s="41" t="s">
        <v>48</v>
      </c>
      <c r="H4" s="63" t="s">
        <v>49</v>
      </c>
      <c r="I4" s="12" t="s">
        <v>50</v>
      </c>
      <c r="J4" s="41" t="s">
        <v>48</v>
      </c>
      <c r="K4" s="63" t="s">
        <v>49</v>
      </c>
      <c r="L4" s="12" t="s">
        <v>50</v>
      </c>
      <c r="M4" s="11" t="s">
        <v>48</v>
      </c>
      <c r="N4" s="63" t="s">
        <v>49</v>
      </c>
      <c r="O4" s="12" t="s">
        <v>50</v>
      </c>
      <c r="P4" s="13" t="s">
        <v>48</v>
      </c>
      <c r="Q4" s="64" t="s">
        <v>49</v>
      </c>
      <c r="R4" s="14" t="s">
        <v>50</v>
      </c>
      <c r="S4" s="8"/>
      <c r="T4" s="4"/>
    </row>
    <row r="5" spans="1:20" ht="12.6" customHeight="1" thickBot="1">
      <c r="B5" s="15" t="s">
        <v>51</v>
      </c>
      <c r="C5" s="16"/>
      <c r="D5" s="16"/>
      <c r="E5" s="65">
        <f>入力!E4</f>
        <v>20</v>
      </c>
      <c r="F5" s="17" t="s">
        <v>52</v>
      </c>
      <c r="G5" s="42" t="s">
        <v>53</v>
      </c>
      <c r="H5" s="38" t="s">
        <v>53</v>
      </c>
      <c r="I5" s="38" t="s">
        <v>54</v>
      </c>
      <c r="J5" s="42" t="s">
        <v>53</v>
      </c>
      <c r="K5" s="38" t="s">
        <v>53</v>
      </c>
      <c r="L5" s="38" t="s">
        <v>54</v>
      </c>
      <c r="M5" s="18" t="s">
        <v>53</v>
      </c>
      <c r="N5" s="38" t="s">
        <v>53</v>
      </c>
      <c r="O5" s="38" t="s">
        <v>54</v>
      </c>
      <c r="P5" s="19" t="s">
        <v>53</v>
      </c>
      <c r="Q5" s="38" t="s">
        <v>53</v>
      </c>
      <c r="R5" s="39" t="s">
        <v>54</v>
      </c>
      <c r="S5" s="8"/>
      <c r="T5" s="4"/>
    </row>
    <row r="6" spans="1:20" ht="12.6" customHeight="1" thickTop="1">
      <c r="A6" s="4">
        <v>1</v>
      </c>
      <c r="B6" s="51" t="s">
        <v>55</v>
      </c>
      <c r="C6" s="66">
        <f>入力!C5</f>
        <v>0</v>
      </c>
      <c r="D6" s="52" t="s">
        <v>56</v>
      </c>
      <c r="E6" s="67">
        <f>入力!E5</f>
        <v>0</v>
      </c>
      <c r="F6" s="20"/>
      <c r="G6" s="68">
        <v>2.2999999999999998</v>
      </c>
      <c r="H6" s="21"/>
      <c r="I6" s="22"/>
      <c r="J6" s="43">
        <v>1.5</v>
      </c>
      <c r="K6" s="21"/>
      <c r="L6" s="22"/>
      <c r="M6" s="43"/>
      <c r="N6" s="21"/>
      <c r="O6" s="22"/>
      <c r="P6" s="43"/>
      <c r="Q6" s="21"/>
      <c r="R6" s="23"/>
      <c r="S6" s="8"/>
      <c r="T6" s="4"/>
    </row>
    <row r="7" spans="1:20">
      <c r="A7" s="4">
        <v>2</v>
      </c>
      <c r="B7" s="32" t="s">
        <v>55</v>
      </c>
      <c r="C7" s="69">
        <f>入力!C6</f>
        <v>0</v>
      </c>
      <c r="D7" s="37" t="s">
        <v>56</v>
      </c>
      <c r="E7" s="70">
        <f>入力!E6</f>
        <v>0</v>
      </c>
      <c r="F7" s="24">
        <f t="shared" ref="F7:F30" si="0">IF(ISBLANK(C7),"",(C7-C6)*$E$5+(E7-E6))</f>
        <v>0</v>
      </c>
      <c r="G7" s="71">
        <v>1.1000000000000001</v>
      </c>
      <c r="H7" s="25">
        <f t="shared" ref="H7:H30" si="1">IF(ISBLANK($C7),"",(G6+G7)/2)</f>
        <v>1.7</v>
      </c>
      <c r="I7" s="26">
        <f t="shared" ref="I7:I30" si="2">ROUND(IF(ISBLANK($C7),"",$F7*H7),1)</f>
        <v>0</v>
      </c>
      <c r="J7" s="43">
        <v>0.7</v>
      </c>
      <c r="K7" s="25">
        <f t="shared" ref="K7:K30" si="3">IF(ISBLANK($C7),"",(J6+J7)/2)</f>
        <v>1.1000000000000001</v>
      </c>
      <c r="L7" s="26">
        <f t="shared" ref="L7:L30" si="4">ROUND(IF(ISBLANK($C7),"",$F7*K7),1)</f>
        <v>0</v>
      </c>
      <c r="M7" s="43"/>
      <c r="N7" s="25"/>
      <c r="O7" s="26"/>
      <c r="P7" s="43"/>
      <c r="Q7" s="25"/>
      <c r="R7" s="23"/>
      <c r="S7" s="8"/>
      <c r="T7" s="4"/>
    </row>
    <row r="8" spans="1:20" s="27" customFormat="1">
      <c r="A8" s="4">
        <v>3</v>
      </c>
      <c r="B8" s="32" t="s">
        <v>55</v>
      </c>
      <c r="C8" s="69">
        <f>入力!C7</f>
        <v>0</v>
      </c>
      <c r="D8" s="37" t="s">
        <v>56</v>
      </c>
      <c r="E8" s="70">
        <f>入力!E7</f>
        <v>0</v>
      </c>
      <c r="F8" s="24">
        <f t="shared" si="0"/>
        <v>0</v>
      </c>
      <c r="G8" s="71">
        <v>1.7</v>
      </c>
      <c r="H8" s="25">
        <f t="shared" si="1"/>
        <v>1.4</v>
      </c>
      <c r="I8" s="26">
        <f t="shared" si="2"/>
        <v>0</v>
      </c>
      <c r="J8" s="43">
        <v>1.1000000000000001</v>
      </c>
      <c r="K8" s="25">
        <f t="shared" si="3"/>
        <v>0.9</v>
      </c>
      <c r="L8" s="26">
        <f t="shared" si="4"/>
        <v>0</v>
      </c>
      <c r="M8" s="43"/>
      <c r="N8" s="25"/>
      <c r="O8" s="26"/>
      <c r="P8" s="43"/>
      <c r="Q8" s="25"/>
      <c r="R8" s="23"/>
      <c r="S8" s="72"/>
    </row>
    <row r="9" spans="1:20" s="27" customFormat="1">
      <c r="A9" s="4">
        <v>4</v>
      </c>
      <c r="B9" s="32" t="s">
        <v>55</v>
      </c>
      <c r="C9" s="69">
        <f>入力!C8</f>
        <v>0</v>
      </c>
      <c r="D9" s="37" t="s">
        <v>56</v>
      </c>
      <c r="E9" s="70">
        <f>入力!E8</f>
        <v>0</v>
      </c>
      <c r="F9" s="24">
        <f t="shared" si="0"/>
        <v>0</v>
      </c>
      <c r="G9" s="71">
        <v>2.2999999999999998</v>
      </c>
      <c r="H9" s="25">
        <f t="shared" si="1"/>
        <v>2</v>
      </c>
      <c r="I9" s="26">
        <f t="shared" si="2"/>
        <v>0</v>
      </c>
      <c r="J9" s="43">
        <v>1.5</v>
      </c>
      <c r="K9" s="25">
        <f t="shared" si="3"/>
        <v>1.3</v>
      </c>
      <c r="L9" s="26">
        <f t="shared" si="4"/>
        <v>0</v>
      </c>
      <c r="M9" s="43"/>
      <c r="N9" s="25"/>
      <c r="O9" s="26"/>
      <c r="P9" s="43"/>
      <c r="Q9" s="25"/>
      <c r="R9" s="23"/>
      <c r="S9" s="72"/>
    </row>
    <row r="10" spans="1:20">
      <c r="A10" s="4">
        <v>5</v>
      </c>
      <c r="B10" s="32" t="s">
        <v>55</v>
      </c>
      <c r="C10" s="69">
        <f>入力!C9</f>
        <v>0</v>
      </c>
      <c r="D10" s="37" t="s">
        <v>56</v>
      </c>
      <c r="E10" s="70">
        <f>入力!E9</f>
        <v>0</v>
      </c>
      <c r="F10" s="24">
        <f t="shared" si="0"/>
        <v>0</v>
      </c>
      <c r="G10" s="71">
        <v>2.5</v>
      </c>
      <c r="H10" s="25">
        <f t="shared" si="1"/>
        <v>2.4</v>
      </c>
      <c r="I10" s="26">
        <f t="shared" si="2"/>
        <v>0</v>
      </c>
      <c r="J10" s="43">
        <v>1.6</v>
      </c>
      <c r="K10" s="25">
        <f t="shared" si="3"/>
        <v>1.55</v>
      </c>
      <c r="L10" s="26">
        <f t="shared" si="4"/>
        <v>0</v>
      </c>
      <c r="M10" s="43"/>
      <c r="N10" s="25"/>
      <c r="O10" s="26"/>
      <c r="P10" s="43"/>
      <c r="Q10" s="25"/>
      <c r="R10" s="23"/>
      <c r="S10" s="8"/>
      <c r="T10" s="4"/>
    </row>
    <row r="11" spans="1:20">
      <c r="A11" s="4">
        <v>6</v>
      </c>
      <c r="B11" s="32" t="s">
        <v>55</v>
      </c>
      <c r="C11" s="69">
        <f>入力!C10</f>
        <v>0</v>
      </c>
      <c r="D11" s="37" t="s">
        <v>56</v>
      </c>
      <c r="E11" s="70">
        <f>入力!E10</f>
        <v>0</v>
      </c>
      <c r="F11" s="24">
        <f t="shared" si="0"/>
        <v>0</v>
      </c>
      <c r="G11" s="71">
        <v>2.6</v>
      </c>
      <c r="H11" s="25">
        <f t="shared" si="1"/>
        <v>2.5499999999999998</v>
      </c>
      <c r="I11" s="26">
        <f t="shared" si="2"/>
        <v>0</v>
      </c>
      <c r="J11" s="43">
        <v>1.7</v>
      </c>
      <c r="K11" s="25">
        <f t="shared" si="3"/>
        <v>1.65</v>
      </c>
      <c r="L11" s="26">
        <f t="shared" si="4"/>
        <v>0</v>
      </c>
      <c r="M11" s="43"/>
      <c r="N11" s="25"/>
      <c r="O11" s="26"/>
      <c r="P11" s="43"/>
      <c r="Q11" s="25"/>
      <c r="R11" s="23"/>
      <c r="S11" s="8"/>
      <c r="T11" s="4"/>
    </row>
    <row r="12" spans="1:20" s="27" customFormat="1">
      <c r="A12" s="4">
        <v>7</v>
      </c>
      <c r="B12" s="32" t="s">
        <v>55</v>
      </c>
      <c r="C12" s="69">
        <f>入力!C11</f>
        <v>0</v>
      </c>
      <c r="D12" s="37" t="s">
        <v>56</v>
      </c>
      <c r="E12" s="70">
        <f>入力!E11</f>
        <v>0</v>
      </c>
      <c r="F12" s="24">
        <f t="shared" si="0"/>
        <v>0</v>
      </c>
      <c r="G12" s="71">
        <v>2.8</v>
      </c>
      <c r="H12" s="25">
        <f t="shared" si="1"/>
        <v>2.7</v>
      </c>
      <c r="I12" s="26">
        <f t="shared" si="2"/>
        <v>0</v>
      </c>
      <c r="J12" s="43">
        <v>1.8</v>
      </c>
      <c r="K12" s="25">
        <f t="shared" si="3"/>
        <v>1.75</v>
      </c>
      <c r="L12" s="26">
        <f t="shared" si="4"/>
        <v>0</v>
      </c>
      <c r="M12" s="43"/>
      <c r="N12" s="25"/>
      <c r="O12" s="26"/>
      <c r="P12" s="43"/>
      <c r="Q12" s="25"/>
      <c r="R12" s="23"/>
      <c r="S12" s="72"/>
    </row>
    <row r="13" spans="1:20" s="27" customFormat="1">
      <c r="A13" s="4">
        <v>8</v>
      </c>
      <c r="B13" s="32" t="s">
        <v>55</v>
      </c>
      <c r="C13" s="69">
        <f>入力!C12</f>
        <v>0</v>
      </c>
      <c r="D13" s="37" t="s">
        <v>56</v>
      </c>
      <c r="E13" s="70">
        <f>入力!E12</f>
        <v>0</v>
      </c>
      <c r="F13" s="24">
        <f t="shared" si="0"/>
        <v>0</v>
      </c>
      <c r="G13" s="71">
        <v>3</v>
      </c>
      <c r="H13" s="25">
        <f t="shared" si="1"/>
        <v>2.9</v>
      </c>
      <c r="I13" s="26">
        <f t="shared" si="2"/>
        <v>0</v>
      </c>
      <c r="J13" s="43">
        <v>2</v>
      </c>
      <c r="K13" s="25">
        <f t="shared" si="3"/>
        <v>1.9</v>
      </c>
      <c r="L13" s="26">
        <f t="shared" si="4"/>
        <v>0</v>
      </c>
      <c r="M13" s="43"/>
      <c r="N13" s="25"/>
      <c r="O13" s="26"/>
      <c r="P13" s="43"/>
      <c r="Q13" s="25"/>
      <c r="R13" s="23"/>
      <c r="S13" s="72"/>
    </row>
    <row r="14" spans="1:20">
      <c r="A14" s="4">
        <v>9</v>
      </c>
      <c r="B14" s="32" t="s">
        <v>55</v>
      </c>
      <c r="C14" s="69">
        <f>入力!C13</f>
        <v>0</v>
      </c>
      <c r="D14" s="37" t="s">
        <v>56</v>
      </c>
      <c r="E14" s="70">
        <f>入力!E13</f>
        <v>0</v>
      </c>
      <c r="F14" s="24">
        <f t="shared" si="0"/>
        <v>0</v>
      </c>
      <c r="G14" s="71">
        <v>5.8</v>
      </c>
      <c r="H14" s="25">
        <f t="shared" si="1"/>
        <v>4.4000000000000004</v>
      </c>
      <c r="I14" s="26">
        <f t="shared" si="2"/>
        <v>0</v>
      </c>
      <c r="J14" s="43">
        <v>3.4</v>
      </c>
      <c r="K14" s="25">
        <f t="shared" si="3"/>
        <v>2.7</v>
      </c>
      <c r="L14" s="26">
        <f t="shared" si="4"/>
        <v>0</v>
      </c>
      <c r="M14" s="43"/>
      <c r="N14" s="25"/>
      <c r="O14" s="26"/>
      <c r="P14" s="43"/>
      <c r="Q14" s="25"/>
      <c r="R14" s="23"/>
      <c r="S14" s="8"/>
      <c r="T14" s="4"/>
    </row>
    <row r="15" spans="1:20">
      <c r="A15" s="4">
        <v>10</v>
      </c>
      <c r="B15" s="32" t="s">
        <v>55</v>
      </c>
      <c r="C15" s="69">
        <f>入力!C14</f>
        <v>0</v>
      </c>
      <c r="D15" s="37" t="s">
        <v>56</v>
      </c>
      <c r="E15" s="70">
        <f>入力!E14</f>
        <v>0</v>
      </c>
      <c r="F15" s="24">
        <f t="shared" si="0"/>
        <v>0</v>
      </c>
      <c r="G15" s="71">
        <v>5.6</v>
      </c>
      <c r="H15" s="25">
        <f t="shared" si="1"/>
        <v>5.6999999999999993</v>
      </c>
      <c r="I15" s="26">
        <f t="shared" si="2"/>
        <v>0</v>
      </c>
      <c r="J15" s="43">
        <v>3.2</v>
      </c>
      <c r="K15" s="25">
        <f t="shared" si="3"/>
        <v>3.3</v>
      </c>
      <c r="L15" s="26">
        <f t="shared" si="4"/>
        <v>0</v>
      </c>
      <c r="M15" s="43"/>
      <c r="N15" s="25"/>
      <c r="O15" s="26"/>
      <c r="P15" s="43"/>
      <c r="Q15" s="25"/>
      <c r="R15" s="23"/>
      <c r="S15" s="8"/>
      <c r="T15" s="4"/>
    </row>
    <row r="16" spans="1:20">
      <c r="A16" s="4">
        <v>11</v>
      </c>
      <c r="B16" s="32" t="s">
        <v>55</v>
      </c>
      <c r="C16" s="69">
        <f>入力!C15</f>
        <v>0</v>
      </c>
      <c r="D16" s="37" t="s">
        <v>56</v>
      </c>
      <c r="E16" s="70">
        <f>入力!E15</f>
        <v>0</v>
      </c>
      <c r="F16" s="24">
        <f t="shared" si="0"/>
        <v>0</v>
      </c>
      <c r="G16" s="71">
        <v>4.8</v>
      </c>
      <c r="H16" s="25">
        <f t="shared" si="1"/>
        <v>5.1999999999999993</v>
      </c>
      <c r="I16" s="26">
        <f t="shared" si="2"/>
        <v>0</v>
      </c>
      <c r="J16" s="43">
        <v>2.7</v>
      </c>
      <c r="K16" s="25">
        <f t="shared" si="3"/>
        <v>2.95</v>
      </c>
      <c r="L16" s="26">
        <f t="shared" si="4"/>
        <v>0</v>
      </c>
      <c r="M16" s="43"/>
      <c r="N16" s="25"/>
      <c r="O16" s="26"/>
      <c r="P16" s="43"/>
      <c r="Q16" s="25"/>
      <c r="R16" s="23"/>
      <c r="S16" s="8"/>
      <c r="T16" s="4"/>
    </row>
    <row r="17" spans="1:20" s="27" customFormat="1">
      <c r="A17" s="4">
        <v>12</v>
      </c>
      <c r="B17" s="32" t="s">
        <v>55</v>
      </c>
      <c r="C17" s="69">
        <f>入力!C16</f>
        <v>0</v>
      </c>
      <c r="D17" s="37" t="s">
        <v>56</v>
      </c>
      <c r="E17" s="70">
        <f>入力!E16</f>
        <v>0</v>
      </c>
      <c r="F17" s="24">
        <f t="shared" si="0"/>
        <v>0</v>
      </c>
      <c r="G17" s="71">
        <v>2.8</v>
      </c>
      <c r="H17" s="25">
        <f t="shared" si="1"/>
        <v>3.8</v>
      </c>
      <c r="I17" s="26">
        <f t="shared" si="2"/>
        <v>0</v>
      </c>
      <c r="J17" s="43">
        <v>1.8</v>
      </c>
      <c r="K17" s="25">
        <f t="shared" si="3"/>
        <v>2.25</v>
      </c>
      <c r="L17" s="26">
        <f t="shared" si="4"/>
        <v>0</v>
      </c>
      <c r="M17" s="43"/>
      <c r="N17" s="25"/>
      <c r="O17" s="26"/>
      <c r="P17" s="43"/>
      <c r="Q17" s="25"/>
      <c r="R17" s="23"/>
      <c r="S17" s="72"/>
    </row>
    <row r="18" spans="1:20">
      <c r="A18" s="4">
        <v>13</v>
      </c>
      <c r="B18" s="32" t="s">
        <v>55</v>
      </c>
      <c r="C18" s="69">
        <f>入力!C17</f>
        <v>0</v>
      </c>
      <c r="D18" s="37" t="s">
        <v>56</v>
      </c>
      <c r="E18" s="70">
        <f>入力!E17</f>
        <v>0</v>
      </c>
      <c r="F18" s="24">
        <f t="shared" si="0"/>
        <v>0</v>
      </c>
      <c r="G18" s="71">
        <v>3</v>
      </c>
      <c r="H18" s="25">
        <f t="shared" si="1"/>
        <v>2.9</v>
      </c>
      <c r="I18" s="26">
        <f t="shared" si="2"/>
        <v>0</v>
      </c>
      <c r="J18" s="43">
        <v>1.9</v>
      </c>
      <c r="K18" s="25">
        <f t="shared" si="3"/>
        <v>1.85</v>
      </c>
      <c r="L18" s="26">
        <f t="shared" si="4"/>
        <v>0</v>
      </c>
      <c r="M18" s="43"/>
      <c r="N18" s="25"/>
      <c r="O18" s="26"/>
      <c r="P18" s="43"/>
      <c r="Q18" s="25"/>
      <c r="R18" s="23"/>
      <c r="S18" s="8"/>
      <c r="T18" s="4"/>
    </row>
    <row r="19" spans="1:20">
      <c r="A19" s="4">
        <v>14</v>
      </c>
      <c r="B19" s="32" t="s">
        <v>55</v>
      </c>
      <c r="C19" s="69">
        <f>入力!C18</f>
        <v>0</v>
      </c>
      <c r="D19" s="37" t="s">
        <v>56</v>
      </c>
      <c r="E19" s="70">
        <f>入力!E18</f>
        <v>0</v>
      </c>
      <c r="F19" s="24">
        <f t="shared" si="0"/>
        <v>0</v>
      </c>
      <c r="G19" s="71">
        <v>2.4</v>
      </c>
      <c r="H19" s="25">
        <f t="shared" si="1"/>
        <v>2.7</v>
      </c>
      <c r="I19" s="26">
        <f t="shared" si="2"/>
        <v>0</v>
      </c>
      <c r="J19" s="43">
        <v>1.6</v>
      </c>
      <c r="K19" s="25">
        <f t="shared" si="3"/>
        <v>1.75</v>
      </c>
      <c r="L19" s="26">
        <f t="shared" si="4"/>
        <v>0</v>
      </c>
      <c r="M19" s="43"/>
      <c r="N19" s="25"/>
      <c r="O19" s="26"/>
      <c r="P19" s="43"/>
      <c r="Q19" s="25"/>
      <c r="R19" s="23"/>
      <c r="S19" s="8"/>
      <c r="T19" s="4"/>
    </row>
    <row r="20" spans="1:20">
      <c r="A20" s="4">
        <v>15</v>
      </c>
      <c r="B20" s="32" t="s">
        <v>55</v>
      </c>
      <c r="C20" s="69">
        <f>入力!C19</f>
        <v>0</v>
      </c>
      <c r="D20" s="37" t="s">
        <v>56</v>
      </c>
      <c r="E20" s="70">
        <f>入力!E19</f>
        <v>0</v>
      </c>
      <c r="F20" s="24">
        <f t="shared" si="0"/>
        <v>0</v>
      </c>
      <c r="G20" s="71">
        <v>3.5</v>
      </c>
      <c r="H20" s="25">
        <f t="shared" si="1"/>
        <v>2.95</v>
      </c>
      <c r="I20" s="26">
        <f t="shared" si="2"/>
        <v>0</v>
      </c>
      <c r="J20" s="43">
        <v>2.2999999999999998</v>
      </c>
      <c r="K20" s="25">
        <f t="shared" si="3"/>
        <v>1.95</v>
      </c>
      <c r="L20" s="26">
        <f t="shared" si="4"/>
        <v>0</v>
      </c>
      <c r="M20" s="43"/>
      <c r="N20" s="25"/>
      <c r="O20" s="26"/>
      <c r="P20" s="43"/>
      <c r="Q20" s="25"/>
      <c r="R20" s="23"/>
      <c r="S20" s="8"/>
      <c r="T20" s="4"/>
    </row>
    <row r="21" spans="1:20">
      <c r="A21" s="4">
        <v>16</v>
      </c>
      <c r="B21" s="32" t="s">
        <v>55</v>
      </c>
      <c r="C21" s="69">
        <f>入力!C20</f>
        <v>0</v>
      </c>
      <c r="D21" s="37" t="s">
        <v>56</v>
      </c>
      <c r="E21" s="70">
        <f>入力!E20</f>
        <v>0</v>
      </c>
      <c r="F21" s="24">
        <f t="shared" si="0"/>
        <v>0</v>
      </c>
      <c r="G21" s="71">
        <v>3.3</v>
      </c>
      <c r="H21" s="25">
        <f t="shared" si="1"/>
        <v>3.4</v>
      </c>
      <c r="I21" s="26">
        <f t="shared" si="2"/>
        <v>0</v>
      </c>
      <c r="J21" s="43">
        <v>2.1</v>
      </c>
      <c r="K21" s="25">
        <f t="shared" si="3"/>
        <v>2.2000000000000002</v>
      </c>
      <c r="L21" s="26">
        <f t="shared" si="4"/>
        <v>0</v>
      </c>
      <c r="M21" s="43"/>
      <c r="N21" s="25"/>
      <c r="O21" s="26"/>
      <c r="P21" s="43"/>
      <c r="Q21" s="25"/>
      <c r="R21" s="23"/>
      <c r="S21" s="8"/>
      <c r="T21" s="4"/>
    </row>
    <row r="22" spans="1:20">
      <c r="A22" s="4">
        <v>17</v>
      </c>
      <c r="B22" s="32" t="s">
        <v>55</v>
      </c>
      <c r="C22" s="69">
        <f>入力!C21</f>
        <v>0</v>
      </c>
      <c r="D22" s="37" t="s">
        <v>56</v>
      </c>
      <c r="E22" s="70">
        <f>入力!E21</f>
        <v>0</v>
      </c>
      <c r="F22" s="24">
        <f t="shared" si="0"/>
        <v>0</v>
      </c>
      <c r="G22" s="71">
        <v>1.7</v>
      </c>
      <c r="H22" s="25">
        <f t="shared" si="1"/>
        <v>2.5</v>
      </c>
      <c r="I22" s="26">
        <f t="shared" si="2"/>
        <v>0</v>
      </c>
      <c r="J22" s="43">
        <v>1.1000000000000001</v>
      </c>
      <c r="K22" s="25">
        <f t="shared" si="3"/>
        <v>1.6</v>
      </c>
      <c r="L22" s="26">
        <f t="shared" si="4"/>
        <v>0</v>
      </c>
      <c r="M22" s="43"/>
      <c r="N22" s="25"/>
      <c r="O22" s="26"/>
      <c r="P22" s="43"/>
      <c r="Q22" s="25"/>
      <c r="R22" s="23"/>
      <c r="S22" s="8"/>
      <c r="T22" s="4"/>
    </row>
    <row r="23" spans="1:20" s="27" customFormat="1">
      <c r="A23" s="4">
        <v>18</v>
      </c>
      <c r="B23" s="32" t="s">
        <v>55</v>
      </c>
      <c r="C23" s="69">
        <f>入力!C22</f>
        <v>0</v>
      </c>
      <c r="D23" s="37" t="s">
        <v>56</v>
      </c>
      <c r="E23" s="70">
        <f>入力!E22</f>
        <v>0</v>
      </c>
      <c r="F23" s="24">
        <f t="shared" si="0"/>
        <v>0</v>
      </c>
      <c r="G23" s="71">
        <v>2</v>
      </c>
      <c r="H23" s="25">
        <f t="shared" si="1"/>
        <v>1.85</v>
      </c>
      <c r="I23" s="26">
        <f t="shared" si="2"/>
        <v>0</v>
      </c>
      <c r="J23" s="43">
        <v>1.3</v>
      </c>
      <c r="K23" s="25">
        <f t="shared" si="3"/>
        <v>1.2000000000000002</v>
      </c>
      <c r="L23" s="26">
        <f t="shared" si="4"/>
        <v>0</v>
      </c>
      <c r="M23" s="43"/>
      <c r="N23" s="25"/>
      <c r="O23" s="26"/>
      <c r="P23" s="43"/>
      <c r="Q23" s="25"/>
      <c r="R23" s="23"/>
      <c r="S23" s="72"/>
    </row>
    <row r="24" spans="1:20">
      <c r="A24" s="4">
        <v>19</v>
      </c>
      <c r="B24" s="32" t="s">
        <v>55</v>
      </c>
      <c r="C24" s="69">
        <f>入力!C23</f>
        <v>0</v>
      </c>
      <c r="D24" s="37" t="s">
        <v>56</v>
      </c>
      <c r="E24" s="70">
        <f>入力!E23</f>
        <v>0</v>
      </c>
      <c r="F24" s="24">
        <f t="shared" si="0"/>
        <v>0</v>
      </c>
      <c r="G24" s="71">
        <v>1.5</v>
      </c>
      <c r="H24" s="25">
        <f t="shared" si="1"/>
        <v>1.75</v>
      </c>
      <c r="I24" s="26">
        <f t="shared" si="2"/>
        <v>0</v>
      </c>
      <c r="J24" s="43">
        <v>0.9</v>
      </c>
      <c r="K24" s="25">
        <f t="shared" si="3"/>
        <v>1.1000000000000001</v>
      </c>
      <c r="L24" s="26">
        <f t="shared" si="4"/>
        <v>0</v>
      </c>
      <c r="M24" s="43"/>
      <c r="N24" s="25"/>
      <c r="O24" s="26"/>
      <c r="P24" s="43"/>
      <c r="Q24" s="25"/>
      <c r="R24" s="23"/>
      <c r="S24" s="8"/>
      <c r="T24" s="73"/>
    </row>
    <row r="25" spans="1:20">
      <c r="A25" s="4">
        <v>20</v>
      </c>
      <c r="B25" s="32" t="s">
        <v>55</v>
      </c>
      <c r="C25" s="69">
        <f>入力!C24</f>
        <v>0</v>
      </c>
      <c r="D25" s="37" t="s">
        <v>56</v>
      </c>
      <c r="E25" s="70">
        <f>入力!E24</f>
        <v>0</v>
      </c>
      <c r="F25" s="24">
        <f t="shared" si="0"/>
        <v>0</v>
      </c>
      <c r="G25" s="71">
        <v>0.6</v>
      </c>
      <c r="H25" s="25">
        <f t="shared" si="1"/>
        <v>1.05</v>
      </c>
      <c r="I25" s="26">
        <f t="shared" si="2"/>
        <v>0</v>
      </c>
      <c r="J25" s="43">
        <v>0.4</v>
      </c>
      <c r="K25" s="25">
        <f t="shared" si="3"/>
        <v>0.65</v>
      </c>
      <c r="L25" s="26">
        <f t="shared" si="4"/>
        <v>0</v>
      </c>
      <c r="M25" s="43"/>
      <c r="N25" s="25"/>
      <c r="O25" s="26"/>
      <c r="P25" s="43"/>
      <c r="Q25" s="25"/>
      <c r="R25" s="23"/>
      <c r="S25" s="8"/>
      <c r="T25" s="4"/>
    </row>
    <row r="26" spans="1:20">
      <c r="A26" s="4">
        <v>21</v>
      </c>
      <c r="B26" s="32" t="s">
        <v>55</v>
      </c>
      <c r="C26" s="69">
        <f>入力!C25</f>
        <v>0</v>
      </c>
      <c r="D26" s="37" t="s">
        <v>56</v>
      </c>
      <c r="E26" s="70">
        <f>入力!E25</f>
        <v>0</v>
      </c>
      <c r="F26" s="24">
        <f t="shared" si="0"/>
        <v>0</v>
      </c>
      <c r="G26" s="71">
        <v>1.1000000000000001</v>
      </c>
      <c r="H26" s="25">
        <f t="shared" si="1"/>
        <v>0.85000000000000009</v>
      </c>
      <c r="I26" s="26">
        <f t="shared" si="2"/>
        <v>0</v>
      </c>
      <c r="J26" s="43">
        <v>0.7</v>
      </c>
      <c r="K26" s="25">
        <f t="shared" si="3"/>
        <v>0.55000000000000004</v>
      </c>
      <c r="L26" s="26">
        <f t="shared" si="4"/>
        <v>0</v>
      </c>
      <c r="M26" s="43"/>
      <c r="N26" s="25"/>
      <c r="O26" s="26"/>
      <c r="P26" s="43"/>
      <c r="Q26" s="25"/>
      <c r="R26" s="23"/>
      <c r="S26" s="8"/>
      <c r="T26" s="4"/>
    </row>
    <row r="27" spans="1:20" s="27" customFormat="1">
      <c r="A27" s="4">
        <v>22</v>
      </c>
      <c r="B27" s="32" t="s">
        <v>55</v>
      </c>
      <c r="C27" s="69">
        <f>入力!C26</f>
        <v>0</v>
      </c>
      <c r="D27" s="37" t="s">
        <v>56</v>
      </c>
      <c r="E27" s="70">
        <f>入力!E26</f>
        <v>0</v>
      </c>
      <c r="F27" s="24">
        <f t="shared" si="0"/>
        <v>0</v>
      </c>
      <c r="G27" s="71">
        <v>0.4</v>
      </c>
      <c r="H27" s="25">
        <f t="shared" si="1"/>
        <v>0.75</v>
      </c>
      <c r="I27" s="26">
        <f t="shared" si="2"/>
        <v>0</v>
      </c>
      <c r="J27" s="43">
        <v>0.3</v>
      </c>
      <c r="K27" s="25">
        <f t="shared" si="3"/>
        <v>0.5</v>
      </c>
      <c r="L27" s="26">
        <f t="shared" si="4"/>
        <v>0</v>
      </c>
      <c r="M27" s="43"/>
      <c r="N27" s="25"/>
      <c r="O27" s="26"/>
      <c r="P27" s="43"/>
      <c r="Q27" s="25"/>
      <c r="R27" s="23"/>
      <c r="S27" s="72"/>
    </row>
    <row r="28" spans="1:20">
      <c r="A28" s="4">
        <v>23</v>
      </c>
      <c r="B28" s="32" t="s">
        <v>55</v>
      </c>
      <c r="C28" s="69">
        <f>入力!C27</f>
        <v>0</v>
      </c>
      <c r="D28" s="37" t="s">
        <v>56</v>
      </c>
      <c r="E28" s="70">
        <f>入力!E27</f>
        <v>0</v>
      </c>
      <c r="F28" s="24">
        <f t="shared" si="0"/>
        <v>0</v>
      </c>
      <c r="G28" s="71">
        <v>6.5</v>
      </c>
      <c r="H28" s="25">
        <f t="shared" si="1"/>
        <v>3.45</v>
      </c>
      <c r="I28" s="26">
        <f t="shared" si="2"/>
        <v>0</v>
      </c>
      <c r="J28" s="43">
        <v>3.1</v>
      </c>
      <c r="K28" s="25">
        <f t="shared" si="3"/>
        <v>1.7</v>
      </c>
      <c r="L28" s="26">
        <f t="shared" si="4"/>
        <v>0</v>
      </c>
      <c r="M28" s="43"/>
      <c r="N28" s="25"/>
      <c r="O28" s="26"/>
      <c r="P28" s="43"/>
      <c r="Q28" s="25"/>
      <c r="R28" s="23"/>
      <c r="S28" s="8"/>
      <c r="T28" s="4"/>
    </row>
    <row r="29" spans="1:20">
      <c r="A29" s="4">
        <v>24</v>
      </c>
      <c r="B29" s="32" t="s">
        <v>55</v>
      </c>
      <c r="C29" s="69">
        <f>入力!C28</f>
        <v>0</v>
      </c>
      <c r="D29" s="37" t="s">
        <v>56</v>
      </c>
      <c r="E29" s="70">
        <f>入力!E28</f>
        <v>0</v>
      </c>
      <c r="F29" s="24">
        <f t="shared" si="0"/>
        <v>0</v>
      </c>
      <c r="G29" s="71">
        <v>6.9</v>
      </c>
      <c r="H29" s="25">
        <f t="shared" si="1"/>
        <v>6.7</v>
      </c>
      <c r="I29" s="26">
        <f t="shared" si="2"/>
        <v>0</v>
      </c>
      <c r="J29" s="43">
        <v>3.2</v>
      </c>
      <c r="K29" s="25">
        <f t="shared" si="3"/>
        <v>3.1500000000000004</v>
      </c>
      <c r="L29" s="26">
        <f t="shared" si="4"/>
        <v>0</v>
      </c>
      <c r="M29" s="43"/>
      <c r="N29" s="25"/>
      <c r="O29" s="26"/>
      <c r="P29" s="43"/>
      <c r="Q29" s="25"/>
      <c r="R29" s="23"/>
      <c r="S29" s="8"/>
      <c r="T29" s="4"/>
    </row>
    <row r="30" spans="1:20">
      <c r="A30" s="4">
        <v>25</v>
      </c>
      <c r="B30" s="32" t="s">
        <v>55</v>
      </c>
      <c r="C30" s="69">
        <f>入力!C29</f>
        <v>0</v>
      </c>
      <c r="D30" s="37" t="s">
        <v>56</v>
      </c>
      <c r="E30" s="70">
        <f>入力!E29</f>
        <v>0</v>
      </c>
      <c r="F30" s="24">
        <f t="shared" si="0"/>
        <v>0</v>
      </c>
      <c r="G30" s="71">
        <v>6.4</v>
      </c>
      <c r="H30" s="25">
        <f t="shared" si="1"/>
        <v>6.65</v>
      </c>
      <c r="I30" s="26">
        <f t="shared" si="2"/>
        <v>0</v>
      </c>
      <c r="J30" s="43">
        <v>2.9</v>
      </c>
      <c r="K30" s="25">
        <f t="shared" si="3"/>
        <v>3.05</v>
      </c>
      <c r="L30" s="26">
        <f t="shared" si="4"/>
        <v>0</v>
      </c>
      <c r="M30" s="43"/>
      <c r="N30" s="25"/>
      <c r="O30" s="26"/>
      <c r="P30" s="43"/>
      <c r="Q30" s="25"/>
      <c r="R30" s="23"/>
      <c r="S30" s="8"/>
      <c r="T30" s="4"/>
    </row>
    <row r="31" spans="1:20">
      <c r="A31" s="4">
        <v>26</v>
      </c>
      <c r="B31" s="32"/>
      <c r="C31" s="69"/>
      <c r="D31" s="37"/>
      <c r="E31" s="70"/>
      <c r="F31" s="24"/>
      <c r="G31" s="71"/>
      <c r="H31" s="25"/>
      <c r="I31" s="26"/>
      <c r="J31" s="43"/>
      <c r="K31" s="25"/>
      <c r="L31" s="26"/>
      <c r="M31" s="43"/>
      <c r="N31" s="25"/>
      <c r="O31" s="26"/>
      <c r="P31" s="43"/>
      <c r="Q31" s="25"/>
      <c r="R31" s="23"/>
      <c r="S31" s="8"/>
      <c r="T31" s="4"/>
    </row>
    <row r="32" spans="1:20">
      <c r="A32" s="4">
        <v>27</v>
      </c>
      <c r="B32" s="32"/>
      <c r="C32" s="69"/>
      <c r="D32" s="37"/>
      <c r="E32" s="70"/>
      <c r="F32" s="24"/>
      <c r="G32" s="71"/>
      <c r="H32" s="25"/>
      <c r="I32" s="26"/>
      <c r="J32" s="43"/>
      <c r="K32" s="25"/>
      <c r="L32" s="26"/>
      <c r="M32" s="43"/>
      <c r="N32" s="25"/>
      <c r="O32" s="26"/>
      <c r="P32" s="43"/>
      <c r="Q32" s="25"/>
      <c r="R32" s="23"/>
      <c r="S32" s="8"/>
      <c r="T32" s="4"/>
    </row>
    <row r="33" spans="1:20" s="27" customFormat="1">
      <c r="A33" s="4">
        <v>28</v>
      </c>
      <c r="B33" s="32"/>
      <c r="C33" s="69"/>
      <c r="D33" s="37"/>
      <c r="E33" s="70"/>
      <c r="F33" s="24"/>
      <c r="G33" s="71"/>
      <c r="H33" s="25"/>
      <c r="I33" s="26"/>
      <c r="J33" s="43"/>
      <c r="K33" s="25"/>
      <c r="L33" s="26"/>
      <c r="M33" s="43"/>
      <c r="N33" s="25"/>
      <c r="O33" s="26"/>
      <c r="P33" s="43"/>
      <c r="Q33" s="25"/>
      <c r="R33" s="23"/>
      <c r="S33" s="72"/>
    </row>
    <row r="34" spans="1:20">
      <c r="A34" s="4">
        <v>29</v>
      </c>
      <c r="B34" s="32"/>
      <c r="C34" s="69"/>
      <c r="D34" s="37"/>
      <c r="E34" s="70"/>
      <c r="F34" s="24"/>
      <c r="G34" s="71"/>
      <c r="H34" s="25"/>
      <c r="I34" s="26"/>
      <c r="J34" s="43"/>
      <c r="K34" s="25"/>
      <c r="L34" s="26"/>
      <c r="M34" s="43"/>
      <c r="N34" s="25"/>
      <c r="O34" s="26"/>
      <c r="P34" s="43"/>
      <c r="Q34" s="25"/>
      <c r="R34" s="23"/>
      <c r="S34" s="8"/>
      <c r="T34" s="4"/>
    </row>
    <row r="35" spans="1:20">
      <c r="A35" s="4">
        <v>30</v>
      </c>
      <c r="B35" s="32"/>
      <c r="C35" s="69"/>
      <c r="D35" s="37"/>
      <c r="E35" s="70"/>
      <c r="F35" s="24"/>
      <c r="G35" s="71"/>
      <c r="H35" s="25"/>
      <c r="I35" s="26"/>
      <c r="J35" s="43"/>
      <c r="K35" s="25"/>
      <c r="L35" s="26"/>
      <c r="M35" s="43"/>
      <c r="N35" s="25"/>
      <c r="O35" s="26"/>
      <c r="P35" s="43"/>
      <c r="Q35" s="25"/>
      <c r="R35" s="23"/>
      <c r="S35" s="8"/>
      <c r="T35" s="4"/>
    </row>
    <row r="36" spans="1:20">
      <c r="A36" s="4">
        <v>31</v>
      </c>
      <c r="B36" s="32"/>
      <c r="C36" s="69"/>
      <c r="D36" s="37"/>
      <c r="E36" s="70"/>
      <c r="F36" s="24"/>
      <c r="G36" s="71"/>
      <c r="H36" s="25"/>
      <c r="I36" s="26"/>
      <c r="J36" s="43"/>
      <c r="K36" s="25"/>
      <c r="L36" s="26"/>
      <c r="M36" s="43"/>
      <c r="N36" s="25"/>
      <c r="O36" s="26"/>
      <c r="P36" s="43"/>
      <c r="Q36" s="25"/>
      <c r="R36" s="23"/>
      <c r="S36" s="8"/>
      <c r="T36" s="4"/>
    </row>
    <row r="37" spans="1:20">
      <c r="A37" s="4">
        <v>32</v>
      </c>
      <c r="B37" s="32"/>
      <c r="C37" s="69"/>
      <c r="D37" s="37"/>
      <c r="E37" s="70"/>
      <c r="F37" s="24"/>
      <c r="G37" s="71"/>
      <c r="H37" s="25"/>
      <c r="I37" s="26"/>
      <c r="J37" s="43"/>
      <c r="K37" s="25"/>
      <c r="L37" s="26"/>
      <c r="M37" s="43"/>
      <c r="N37" s="25"/>
      <c r="O37" s="26"/>
      <c r="P37" s="43"/>
      <c r="Q37" s="25"/>
      <c r="R37" s="23"/>
      <c r="S37" s="8"/>
      <c r="T37" s="4"/>
    </row>
    <row r="38" spans="1:20">
      <c r="A38" s="4">
        <v>33</v>
      </c>
      <c r="B38" s="32"/>
      <c r="C38" s="69"/>
      <c r="D38" s="37"/>
      <c r="E38" s="70"/>
      <c r="F38" s="24"/>
      <c r="G38" s="71"/>
      <c r="H38" s="25"/>
      <c r="I38" s="26"/>
      <c r="J38" s="43"/>
      <c r="K38" s="25"/>
      <c r="L38" s="26"/>
      <c r="M38" s="43"/>
      <c r="N38" s="25"/>
      <c r="O38" s="26"/>
      <c r="P38" s="43"/>
      <c r="Q38" s="25"/>
      <c r="R38" s="23"/>
      <c r="S38" s="8"/>
      <c r="T38" s="4"/>
    </row>
    <row r="39" spans="1:20">
      <c r="A39" s="4">
        <v>34</v>
      </c>
      <c r="B39" s="32"/>
      <c r="C39" s="69"/>
      <c r="D39" s="37"/>
      <c r="E39" s="70"/>
      <c r="F39" s="24"/>
      <c r="G39" s="71"/>
      <c r="H39" s="25"/>
      <c r="I39" s="26"/>
      <c r="J39" s="43"/>
      <c r="K39" s="25"/>
      <c r="L39" s="26"/>
      <c r="M39" s="43"/>
      <c r="N39" s="25"/>
      <c r="O39" s="26"/>
      <c r="P39" s="43"/>
      <c r="Q39" s="25"/>
      <c r="R39" s="23"/>
      <c r="S39" s="8"/>
      <c r="T39" s="4"/>
    </row>
    <row r="40" spans="1:20" ht="12.6" customHeight="1" thickBot="1">
      <c r="A40" s="4">
        <v>35</v>
      </c>
      <c r="B40" s="32"/>
      <c r="C40" s="69"/>
      <c r="D40" s="37"/>
      <c r="E40" s="70"/>
      <c r="F40" s="24"/>
      <c r="G40" s="71"/>
      <c r="H40" s="25"/>
      <c r="I40" s="26"/>
      <c r="J40" s="43"/>
      <c r="K40" s="25"/>
      <c r="L40" s="26"/>
      <c r="M40" s="43"/>
      <c r="N40" s="25"/>
      <c r="O40" s="26"/>
      <c r="P40" s="43"/>
      <c r="Q40" s="25"/>
      <c r="R40" s="23"/>
      <c r="S40" s="8"/>
      <c r="T40" s="4"/>
    </row>
    <row r="41" spans="1:20" ht="12.6" customHeight="1" thickTop="1">
      <c r="B41" s="74"/>
      <c r="C41" s="75" t="s">
        <v>57</v>
      </c>
      <c r="D41" s="76"/>
      <c r="E41" s="49" t="s">
        <v>58</v>
      </c>
      <c r="F41" s="40" t="str">
        <f>IF(SUM(F6:F40)=0,"",SUM(F6:F40))</f>
        <v/>
      </c>
      <c r="G41" s="46"/>
      <c r="H41" s="33"/>
      <c r="I41" s="40">
        <f>SUM(I7:I40)</f>
        <v>0</v>
      </c>
      <c r="J41" s="77"/>
      <c r="K41" s="33"/>
      <c r="L41" s="40">
        <f>SUM(L7:L40)</f>
        <v>0</v>
      </c>
      <c r="M41" s="48"/>
      <c r="N41" s="33"/>
      <c r="O41" s="40">
        <f>SUM(O7:O40)</f>
        <v>0</v>
      </c>
      <c r="P41" s="48"/>
      <c r="Q41" s="33"/>
      <c r="R41" s="47"/>
      <c r="S41" s="8"/>
      <c r="T41" s="4"/>
    </row>
    <row r="42" spans="1:20">
      <c r="B42" s="78"/>
      <c r="C42" s="30" t="str">
        <f>IF(C40="","合","累")</f>
        <v>合</v>
      </c>
      <c r="D42" s="29"/>
      <c r="E42" s="30" t="s">
        <v>58</v>
      </c>
      <c r="F42" s="1" t="str">
        <f>F41</f>
        <v/>
      </c>
      <c r="G42" s="44"/>
      <c r="H42" s="28"/>
      <c r="I42" s="1">
        <f>I41</f>
        <v>0</v>
      </c>
      <c r="J42" s="45"/>
      <c r="K42" s="28"/>
      <c r="L42" s="1">
        <f>L41</f>
        <v>0</v>
      </c>
      <c r="M42" s="80"/>
      <c r="N42" s="28"/>
      <c r="O42" s="1">
        <f>O41</f>
        <v>0</v>
      </c>
      <c r="P42" s="80"/>
      <c r="Q42" s="28"/>
      <c r="R42" s="2"/>
      <c r="S42" s="8"/>
      <c r="T42" s="4"/>
    </row>
  </sheetData>
  <mergeCells count="4">
    <mergeCell ref="J3:L3"/>
    <mergeCell ref="P3:R3"/>
    <mergeCell ref="G3:I3"/>
    <mergeCell ref="M3:O3"/>
  </mergeCells>
  <phoneticPr fontId="24"/>
  <pageMargins left="0.7" right="0.7" top="0.75" bottom="0.75" header="0.3" footer="0.3"/>
  <pageSetup paperSize="9" scale="9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48"/>
  <sheetViews>
    <sheetView view="pageBreakPreview" zoomScale="112" zoomScaleNormal="136" zoomScaleSheetLayoutView="112" workbookViewId="0">
      <selection activeCell="C5" sqref="C5"/>
    </sheetView>
  </sheetViews>
  <sheetFormatPr defaultColWidth="9.140625" defaultRowHeight="13.5"/>
  <cols>
    <col min="1" max="1" width="22.7109375" style="219" customWidth="1"/>
    <col min="2" max="2" width="5.7109375" style="220" customWidth="1"/>
    <col min="3" max="9" width="9.7109375" style="221" customWidth="1"/>
    <col min="10" max="10" width="9.140625" style="60" customWidth="1"/>
    <col min="11" max="16384" width="9.140625" style="60"/>
  </cols>
  <sheetData>
    <row r="1" spans="1:9" ht="21.75" customHeight="1">
      <c r="A1" s="223" t="s">
        <v>38</v>
      </c>
      <c r="B1" s="211"/>
      <c r="C1" s="211"/>
      <c r="D1" s="211"/>
      <c r="E1" s="211"/>
      <c r="F1" s="211"/>
      <c r="G1" s="211"/>
      <c r="H1" s="211"/>
      <c r="I1" s="211"/>
    </row>
    <row r="2" spans="1:9" ht="15.95" customHeight="1">
      <c r="A2" s="267" t="s">
        <v>79</v>
      </c>
      <c r="B2" s="270" t="s">
        <v>5</v>
      </c>
      <c r="C2" s="265" t="s">
        <v>80</v>
      </c>
      <c r="D2" s="263" t="s">
        <v>81</v>
      </c>
      <c r="E2" s="264"/>
      <c r="F2" s="264"/>
      <c r="G2" s="265" t="s">
        <v>82</v>
      </c>
      <c r="H2" s="264"/>
      <c r="I2" s="266"/>
    </row>
    <row r="3" spans="1:9" s="211" customFormat="1" ht="15.95" customHeight="1">
      <c r="A3" s="268"/>
      <c r="B3" s="268"/>
      <c r="C3" s="268"/>
      <c r="D3" s="210" t="s">
        <v>39</v>
      </c>
      <c r="E3" s="210" t="s">
        <v>83</v>
      </c>
      <c r="F3" s="210" t="s">
        <v>84</v>
      </c>
      <c r="G3" s="210" t="s">
        <v>39</v>
      </c>
      <c r="H3" s="210" t="s">
        <v>83</v>
      </c>
      <c r="I3" s="210" t="s">
        <v>84</v>
      </c>
    </row>
    <row r="4" spans="1:9" s="211" customFormat="1" ht="15.95" customHeight="1">
      <c r="A4" s="269"/>
      <c r="B4" s="269"/>
      <c r="C4" s="269"/>
      <c r="D4" s="210" t="s">
        <v>85</v>
      </c>
      <c r="E4" s="210" t="s">
        <v>85</v>
      </c>
      <c r="F4" s="210" t="s">
        <v>85</v>
      </c>
      <c r="G4" s="210" t="s">
        <v>85</v>
      </c>
      <c r="H4" s="210" t="s">
        <v>85</v>
      </c>
      <c r="I4" s="210" t="s">
        <v>85</v>
      </c>
    </row>
    <row r="5" spans="1:9" s="211" customFormat="1" ht="15.95" customHeight="1">
      <c r="A5" s="226" t="s">
        <v>86</v>
      </c>
      <c r="B5" s="212" t="s">
        <v>87</v>
      </c>
      <c r="C5" s="224">
        <v>1</v>
      </c>
      <c r="D5" s="215"/>
      <c r="E5" s="215"/>
      <c r="F5" s="215"/>
      <c r="G5" s="214">
        <f>作業土工1!I42</f>
        <v>0</v>
      </c>
      <c r="H5" s="214"/>
      <c r="I5" s="214">
        <f>作業土工1!L42</f>
        <v>0</v>
      </c>
    </row>
    <row r="6" spans="1:9" ht="15.95" customHeight="1">
      <c r="A6" s="226" t="s">
        <v>88</v>
      </c>
      <c r="B6" s="212" t="s">
        <v>89</v>
      </c>
      <c r="C6" s="213">
        <v>7.4</v>
      </c>
      <c r="D6" s="215">
        <v>1.51</v>
      </c>
      <c r="E6" s="215"/>
      <c r="F6" s="215">
        <v>0.94</v>
      </c>
      <c r="G6" s="214">
        <f t="shared" ref="G6:G38" si="0">ROUND(C6*D6,1)</f>
        <v>11.2</v>
      </c>
      <c r="H6" s="214">
        <f t="shared" ref="H6:H38" si="1">ROUND(C6*E6,1)</f>
        <v>0</v>
      </c>
      <c r="I6" s="214">
        <f t="shared" ref="I6:I38" si="2">ROUND(C6*F6,1)</f>
        <v>7</v>
      </c>
    </row>
    <row r="7" spans="1:9" ht="15.95" customHeight="1">
      <c r="A7" s="226" t="s">
        <v>90</v>
      </c>
      <c r="B7" s="212" t="s">
        <v>89</v>
      </c>
      <c r="C7" s="213">
        <v>8</v>
      </c>
      <c r="D7" s="215">
        <v>5.2</v>
      </c>
      <c r="E7" s="215">
        <v>2.8</v>
      </c>
      <c r="F7" s="215"/>
      <c r="G7" s="214">
        <f t="shared" si="0"/>
        <v>41.6</v>
      </c>
      <c r="H7" s="214">
        <f t="shared" si="1"/>
        <v>22.4</v>
      </c>
      <c r="I7" s="214">
        <f t="shared" si="2"/>
        <v>0</v>
      </c>
    </row>
    <row r="8" spans="1:9" ht="15.95" customHeight="1">
      <c r="A8" s="226" t="s">
        <v>91</v>
      </c>
      <c r="B8" s="212" t="s">
        <v>89</v>
      </c>
      <c r="C8" s="213">
        <v>7.4</v>
      </c>
      <c r="D8" s="215">
        <v>5.2</v>
      </c>
      <c r="E8" s="215">
        <v>2.8</v>
      </c>
      <c r="F8" s="215"/>
      <c r="G8" s="214">
        <f t="shared" si="0"/>
        <v>38.5</v>
      </c>
      <c r="H8" s="214">
        <f t="shared" si="1"/>
        <v>20.7</v>
      </c>
      <c r="I8" s="214">
        <f t="shared" si="2"/>
        <v>0</v>
      </c>
    </row>
    <row r="9" spans="1:9" ht="15.95" customHeight="1">
      <c r="A9" s="226" t="s">
        <v>92</v>
      </c>
      <c r="B9" s="212" t="s">
        <v>89</v>
      </c>
      <c r="C9" s="213">
        <v>12.4</v>
      </c>
      <c r="D9" s="215">
        <v>5.2</v>
      </c>
      <c r="E9" s="215">
        <v>2.8</v>
      </c>
      <c r="F9" s="215"/>
      <c r="G9" s="214">
        <f t="shared" si="0"/>
        <v>64.5</v>
      </c>
      <c r="H9" s="214">
        <f t="shared" si="1"/>
        <v>34.700000000000003</v>
      </c>
      <c r="I9" s="214">
        <f t="shared" si="2"/>
        <v>0</v>
      </c>
    </row>
    <row r="10" spans="1:9" ht="15.95" customHeight="1">
      <c r="A10" s="226" t="s">
        <v>93</v>
      </c>
      <c r="B10" s="212" t="s">
        <v>89</v>
      </c>
      <c r="C10" s="213">
        <v>12.7</v>
      </c>
      <c r="D10" s="215">
        <v>5.2</v>
      </c>
      <c r="E10" s="215">
        <v>2.8</v>
      </c>
      <c r="F10" s="215"/>
      <c r="G10" s="214">
        <f t="shared" si="0"/>
        <v>66</v>
      </c>
      <c r="H10" s="214">
        <f t="shared" si="1"/>
        <v>35.6</v>
      </c>
      <c r="I10" s="214">
        <f t="shared" si="2"/>
        <v>0</v>
      </c>
    </row>
    <row r="11" spans="1:9" ht="15.95" customHeight="1">
      <c r="A11" s="226" t="s">
        <v>94</v>
      </c>
      <c r="B11" s="212" t="s">
        <v>89</v>
      </c>
      <c r="C11" s="213">
        <v>11.1</v>
      </c>
      <c r="D11" s="215">
        <v>7.9</v>
      </c>
      <c r="E11" s="215">
        <v>4</v>
      </c>
      <c r="F11" s="215"/>
      <c r="G11" s="214">
        <f t="shared" si="0"/>
        <v>87.7</v>
      </c>
      <c r="H11" s="214">
        <f t="shared" si="1"/>
        <v>44.4</v>
      </c>
      <c r="I11" s="214">
        <f t="shared" si="2"/>
        <v>0</v>
      </c>
    </row>
    <row r="12" spans="1:9" ht="15.95" customHeight="1">
      <c r="A12" s="226" t="s">
        <v>95</v>
      </c>
      <c r="B12" s="212" t="s">
        <v>89</v>
      </c>
      <c r="C12" s="213">
        <v>1.7</v>
      </c>
      <c r="D12" s="215">
        <v>2.15</v>
      </c>
      <c r="E12" s="215">
        <v>0.92</v>
      </c>
      <c r="F12" s="215"/>
      <c r="G12" s="214">
        <f t="shared" si="0"/>
        <v>3.7</v>
      </c>
      <c r="H12" s="214">
        <f t="shared" si="1"/>
        <v>1.6</v>
      </c>
      <c r="I12" s="214">
        <f t="shared" si="2"/>
        <v>0</v>
      </c>
    </row>
    <row r="13" spans="1:9" s="211" customFormat="1" ht="15.95" customHeight="1">
      <c r="A13" s="226" t="s">
        <v>96</v>
      </c>
      <c r="B13" s="212" t="s">
        <v>89</v>
      </c>
      <c r="C13" s="213">
        <v>50.2</v>
      </c>
      <c r="D13" s="215">
        <v>2.29</v>
      </c>
      <c r="E13" s="215"/>
      <c r="F13" s="215"/>
      <c r="G13" s="214">
        <f t="shared" si="0"/>
        <v>115</v>
      </c>
      <c r="H13" s="214">
        <f t="shared" si="1"/>
        <v>0</v>
      </c>
      <c r="I13" s="214">
        <f t="shared" si="2"/>
        <v>0</v>
      </c>
    </row>
    <row r="14" spans="1:9" s="211" customFormat="1" ht="15.95" customHeight="1">
      <c r="A14" s="226" t="s">
        <v>97</v>
      </c>
      <c r="B14" s="212" t="s">
        <v>89</v>
      </c>
      <c r="C14" s="213">
        <v>6.6</v>
      </c>
      <c r="D14" s="215">
        <v>3.95</v>
      </c>
      <c r="E14" s="215"/>
      <c r="F14" s="215"/>
      <c r="G14" s="214">
        <f t="shared" si="0"/>
        <v>26.1</v>
      </c>
      <c r="H14" s="214">
        <f t="shared" si="1"/>
        <v>0</v>
      </c>
      <c r="I14" s="214">
        <f t="shared" si="2"/>
        <v>0</v>
      </c>
    </row>
    <row r="15" spans="1:9" ht="15.95" customHeight="1">
      <c r="A15" s="226" t="s">
        <v>98</v>
      </c>
      <c r="B15" s="212" t="s">
        <v>89</v>
      </c>
      <c r="C15" s="213">
        <v>9.8000000000000007</v>
      </c>
      <c r="D15" s="215">
        <v>5.65</v>
      </c>
      <c r="E15" s="215"/>
      <c r="F15" s="215"/>
      <c r="G15" s="214">
        <f t="shared" si="0"/>
        <v>55.4</v>
      </c>
      <c r="H15" s="214">
        <f t="shared" si="1"/>
        <v>0</v>
      </c>
      <c r="I15" s="214">
        <f t="shared" si="2"/>
        <v>0</v>
      </c>
    </row>
    <row r="16" spans="1:9" ht="15.95" customHeight="1">
      <c r="A16" s="226" t="s">
        <v>99</v>
      </c>
      <c r="B16" s="212" t="s">
        <v>89</v>
      </c>
      <c r="C16" s="213">
        <v>12.6</v>
      </c>
      <c r="D16" s="215">
        <v>7.27</v>
      </c>
      <c r="E16" s="215"/>
      <c r="F16" s="215"/>
      <c r="G16" s="214">
        <f t="shared" si="0"/>
        <v>91.6</v>
      </c>
      <c r="H16" s="214">
        <f t="shared" si="1"/>
        <v>0</v>
      </c>
      <c r="I16" s="214">
        <f t="shared" si="2"/>
        <v>0</v>
      </c>
    </row>
    <row r="17" spans="1:9" s="211" customFormat="1" ht="15.95" customHeight="1">
      <c r="A17" s="225" t="s">
        <v>100</v>
      </c>
      <c r="B17" s="212" t="s">
        <v>89</v>
      </c>
      <c r="C17" s="224">
        <v>1</v>
      </c>
      <c r="D17" s="215">
        <v>3.2</v>
      </c>
      <c r="E17" s="215"/>
      <c r="F17" s="215">
        <v>2.37</v>
      </c>
      <c r="G17" s="214">
        <f t="shared" si="0"/>
        <v>3.2</v>
      </c>
      <c r="H17" s="214">
        <f t="shared" si="1"/>
        <v>0</v>
      </c>
      <c r="I17" s="214">
        <f t="shared" si="2"/>
        <v>2.4</v>
      </c>
    </row>
    <row r="18" spans="1:9" s="211" customFormat="1" ht="15.95" customHeight="1">
      <c r="A18" s="225" t="s">
        <v>101</v>
      </c>
      <c r="B18" s="212" t="s">
        <v>89</v>
      </c>
      <c r="C18" s="224">
        <v>3</v>
      </c>
      <c r="D18" s="215">
        <v>3.6</v>
      </c>
      <c r="E18" s="215"/>
      <c r="F18" s="215">
        <v>2.67</v>
      </c>
      <c r="G18" s="214">
        <f t="shared" si="0"/>
        <v>10.8</v>
      </c>
      <c r="H18" s="214">
        <f t="shared" si="1"/>
        <v>0</v>
      </c>
      <c r="I18" s="214">
        <f t="shared" si="2"/>
        <v>8</v>
      </c>
    </row>
    <row r="19" spans="1:9" s="211" customFormat="1" ht="15.95" customHeight="1">
      <c r="A19" s="225" t="s">
        <v>102</v>
      </c>
      <c r="B19" s="212" t="s">
        <v>89</v>
      </c>
      <c r="C19" s="224">
        <v>9</v>
      </c>
      <c r="D19" s="215">
        <v>6.33</v>
      </c>
      <c r="E19" s="215">
        <v>5.3</v>
      </c>
      <c r="F19" s="215"/>
      <c r="G19" s="214">
        <f t="shared" si="0"/>
        <v>57</v>
      </c>
      <c r="H19" s="214">
        <f t="shared" si="1"/>
        <v>47.7</v>
      </c>
      <c r="I19" s="214">
        <f t="shared" si="2"/>
        <v>0</v>
      </c>
    </row>
    <row r="20" spans="1:9" s="211" customFormat="1" ht="15.95" customHeight="1">
      <c r="A20" s="225" t="s">
        <v>103</v>
      </c>
      <c r="B20" s="212" t="s">
        <v>89</v>
      </c>
      <c r="C20" s="224">
        <v>2</v>
      </c>
      <c r="D20" s="215">
        <v>7.26</v>
      </c>
      <c r="E20" s="215">
        <v>6.13</v>
      </c>
      <c r="F20" s="215"/>
      <c r="G20" s="214">
        <f t="shared" si="0"/>
        <v>14.5</v>
      </c>
      <c r="H20" s="214">
        <f t="shared" si="1"/>
        <v>12.3</v>
      </c>
      <c r="I20" s="214">
        <f t="shared" si="2"/>
        <v>0</v>
      </c>
    </row>
    <row r="21" spans="1:9" s="211" customFormat="1" ht="15.95" customHeight="1">
      <c r="A21" s="225" t="s">
        <v>104</v>
      </c>
      <c r="B21" s="212" t="s">
        <v>105</v>
      </c>
      <c r="C21" s="224">
        <v>1</v>
      </c>
      <c r="D21" s="215">
        <v>9.32</v>
      </c>
      <c r="E21" s="215">
        <v>7.98</v>
      </c>
      <c r="F21" s="215"/>
      <c r="G21" s="214">
        <f t="shared" si="0"/>
        <v>9.3000000000000007</v>
      </c>
      <c r="H21" s="214">
        <f t="shared" si="1"/>
        <v>8</v>
      </c>
      <c r="I21" s="214">
        <f t="shared" si="2"/>
        <v>0</v>
      </c>
    </row>
    <row r="22" spans="1:9" s="211" customFormat="1" ht="15.95" customHeight="1">
      <c r="A22" s="227" t="s">
        <v>106</v>
      </c>
      <c r="B22" s="212" t="s">
        <v>105</v>
      </c>
      <c r="C22" s="224">
        <v>3</v>
      </c>
      <c r="D22" s="215">
        <v>15.94</v>
      </c>
      <c r="E22" s="215">
        <v>13.77</v>
      </c>
      <c r="F22" s="215"/>
      <c r="G22" s="214">
        <f t="shared" si="0"/>
        <v>47.8</v>
      </c>
      <c r="H22" s="214">
        <f t="shared" si="1"/>
        <v>41.3</v>
      </c>
      <c r="I22" s="214">
        <f t="shared" si="2"/>
        <v>0</v>
      </c>
    </row>
    <row r="23" spans="1:9" s="211" customFormat="1" ht="15.95" customHeight="1">
      <c r="A23" s="226" t="s">
        <v>107</v>
      </c>
      <c r="B23" s="212" t="s">
        <v>105</v>
      </c>
      <c r="C23" s="224">
        <v>1</v>
      </c>
      <c r="D23" s="215">
        <v>7.37</v>
      </c>
      <c r="E23" s="215">
        <v>5.89</v>
      </c>
      <c r="F23" s="215"/>
      <c r="G23" s="214">
        <f t="shared" si="0"/>
        <v>7.4</v>
      </c>
      <c r="H23" s="214">
        <f t="shared" si="1"/>
        <v>5.9</v>
      </c>
      <c r="I23" s="214">
        <f t="shared" si="2"/>
        <v>0</v>
      </c>
    </row>
    <row r="24" spans="1:9" s="211" customFormat="1" ht="15.95" customHeight="1">
      <c r="A24" s="226" t="s">
        <v>108</v>
      </c>
      <c r="B24" s="212" t="s">
        <v>105</v>
      </c>
      <c r="C24" s="224">
        <v>4</v>
      </c>
      <c r="D24" s="215">
        <v>8.43</v>
      </c>
      <c r="E24" s="215">
        <v>6.81</v>
      </c>
      <c r="F24" s="215"/>
      <c r="G24" s="214">
        <f t="shared" si="0"/>
        <v>33.700000000000003</v>
      </c>
      <c r="H24" s="214">
        <f t="shared" si="1"/>
        <v>27.2</v>
      </c>
      <c r="I24" s="214">
        <f t="shared" si="2"/>
        <v>0</v>
      </c>
    </row>
    <row r="25" spans="1:9" s="211" customFormat="1" ht="15.95" customHeight="1">
      <c r="A25" s="228" t="s">
        <v>109</v>
      </c>
      <c r="B25" s="212" t="s">
        <v>105</v>
      </c>
      <c r="C25" s="224">
        <v>5</v>
      </c>
      <c r="D25" s="215">
        <v>10.74</v>
      </c>
      <c r="E25" s="215">
        <v>8.83</v>
      </c>
      <c r="F25" s="215"/>
      <c r="G25" s="214">
        <f t="shared" si="0"/>
        <v>53.7</v>
      </c>
      <c r="H25" s="214">
        <f t="shared" si="1"/>
        <v>44.2</v>
      </c>
      <c r="I25" s="214">
        <f t="shared" si="2"/>
        <v>0</v>
      </c>
    </row>
    <row r="26" spans="1:9" s="211" customFormat="1" ht="15.95" customHeight="1">
      <c r="A26" s="228" t="s">
        <v>110</v>
      </c>
      <c r="B26" s="212" t="s">
        <v>105</v>
      </c>
      <c r="C26" s="224">
        <v>1</v>
      </c>
      <c r="D26" s="215">
        <v>12</v>
      </c>
      <c r="E26" s="215">
        <v>9.9499999999999993</v>
      </c>
      <c r="F26" s="215"/>
      <c r="G26" s="214">
        <f t="shared" si="0"/>
        <v>12</v>
      </c>
      <c r="H26" s="214">
        <f t="shared" si="1"/>
        <v>10</v>
      </c>
      <c r="I26" s="214">
        <f t="shared" si="2"/>
        <v>0</v>
      </c>
    </row>
    <row r="27" spans="1:9" s="211" customFormat="1" ht="15.95" customHeight="1">
      <c r="A27" s="228" t="s">
        <v>111</v>
      </c>
      <c r="B27" s="217" t="s">
        <v>105</v>
      </c>
      <c r="C27" s="224">
        <v>3</v>
      </c>
      <c r="D27" s="215">
        <v>16.22</v>
      </c>
      <c r="E27" s="215">
        <v>13.74</v>
      </c>
      <c r="F27" s="215"/>
      <c r="G27" s="214">
        <f t="shared" si="0"/>
        <v>48.7</v>
      </c>
      <c r="H27" s="214">
        <f t="shared" si="1"/>
        <v>41.2</v>
      </c>
      <c r="I27" s="214">
        <f t="shared" si="2"/>
        <v>0</v>
      </c>
    </row>
    <row r="28" spans="1:9" s="211" customFormat="1" ht="15.95" customHeight="1">
      <c r="A28" s="228" t="s">
        <v>112</v>
      </c>
      <c r="B28" s="212" t="s">
        <v>105</v>
      </c>
      <c r="C28" s="224">
        <v>1</v>
      </c>
      <c r="D28" s="215">
        <v>10.34</v>
      </c>
      <c r="E28" s="215">
        <v>7.82</v>
      </c>
      <c r="F28" s="215"/>
      <c r="G28" s="214">
        <f t="shared" si="0"/>
        <v>10.3</v>
      </c>
      <c r="H28" s="214">
        <f t="shared" si="1"/>
        <v>7.8</v>
      </c>
      <c r="I28" s="214">
        <f t="shared" si="2"/>
        <v>0</v>
      </c>
    </row>
    <row r="29" spans="1:9" s="211" customFormat="1" ht="15.95" customHeight="1">
      <c r="A29" s="228" t="s">
        <v>113</v>
      </c>
      <c r="B29" s="212" t="s">
        <v>105</v>
      </c>
      <c r="C29" s="224">
        <v>1</v>
      </c>
      <c r="D29" s="215">
        <v>33.36</v>
      </c>
      <c r="E29" s="215">
        <v>24.07</v>
      </c>
      <c r="F29" s="215"/>
      <c r="G29" s="214">
        <f t="shared" si="0"/>
        <v>33.4</v>
      </c>
      <c r="H29" s="214">
        <f t="shared" si="1"/>
        <v>24.1</v>
      </c>
      <c r="I29" s="214">
        <f t="shared" si="2"/>
        <v>0</v>
      </c>
    </row>
    <row r="30" spans="1:9" s="211" customFormat="1" ht="15.95" customHeight="1">
      <c r="A30" s="228" t="s">
        <v>114</v>
      </c>
      <c r="B30" s="212" t="s">
        <v>105</v>
      </c>
      <c r="C30" s="224">
        <v>1</v>
      </c>
      <c r="D30" s="215">
        <v>38.36</v>
      </c>
      <c r="E30" s="215">
        <v>28.27</v>
      </c>
      <c r="F30" s="215"/>
      <c r="G30" s="214">
        <f t="shared" si="0"/>
        <v>38.4</v>
      </c>
      <c r="H30" s="214">
        <f t="shared" si="1"/>
        <v>28.3</v>
      </c>
      <c r="I30" s="214">
        <f t="shared" si="2"/>
        <v>0</v>
      </c>
    </row>
    <row r="31" spans="1:9" s="211" customFormat="1" ht="15.95" customHeight="1">
      <c r="A31" s="228" t="s">
        <v>115</v>
      </c>
      <c r="B31" s="212" t="s">
        <v>105</v>
      </c>
      <c r="C31" s="224">
        <v>1</v>
      </c>
      <c r="D31" s="215">
        <v>44.36</v>
      </c>
      <c r="E31" s="215">
        <v>32.39</v>
      </c>
      <c r="F31" s="215"/>
      <c r="G31" s="214">
        <f t="shared" si="0"/>
        <v>44.4</v>
      </c>
      <c r="H31" s="214">
        <f t="shared" si="1"/>
        <v>32.4</v>
      </c>
      <c r="I31" s="214">
        <f t="shared" si="2"/>
        <v>0</v>
      </c>
    </row>
    <row r="32" spans="1:9" s="211" customFormat="1" ht="15.95" customHeight="1">
      <c r="A32" s="228" t="s">
        <v>116</v>
      </c>
      <c r="B32" s="212" t="s">
        <v>105</v>
      </c>
      <c r="C32" s="224">
        <v>1</v>
      </c>
      <c r="D32" s="215">
        <v>27.86</v>
      </c>
      <c r="E32" s="215">
        <v>20.58</v>
      </c>
      <c r="F32" s="215"/>
      <c r="G32" s="214">
        <f t="shared" si="0"/>
        <v>27.9</v>
      </c>
      <c r="H32" s="214">
        <f t="shared" si="1"/>
        <v>20.6</v>
      </c>
      <c r="I32" s="214">
        <f t="shared" si="2"/>
        <v>0</v>
      </c>
    </row>
    <row r="33" spans="1:9" s="211" customFormat="1" ht="15.95" customHeight="1">
      <c r="A33" s="228" t="s">
        <v>117</v>
      </c>
      <c r="B33" s="212" t="s">
        <v>105</v>
      </c>
      <c r="C33" s="224">
        <v>1</v>
      </c>
      <c r="D33" s="215">
        <v>30.22</v>
      </c>
      <c r="E33" s="215">
        <v>22.53</v>
      </c>
      <c r="F33" s="215"/>
      <c r="G33" s="214">
        <f t="shared" si="0"/>
        <v>30.2</v>
      </c>
      <c r="H33" s="214">
        <f t="shared" si="1"/>
        <v>22.5</v>
      </c>
      <c r="I33" s="214">
        <f t="shared" si="2"/>
        <v>0</v>
      </c>
    </row>
    <row r="34" spans="1:9" s="211" customFormat="1" ht="15.95" customHeight="1">
      <c r="A34" s="228" t="s">
        <v>118</v>
      </c>
      <c r="B34" s="212" t="s">
        <v>105</v>
      </c>
      <c r="C34" s="224">
        <v>2</v>
      </c>
      <c r="D34" s="215">
        <v>32.67</v>
      </c>
      <c r="E34" s="215">
        <v>24.59</v>
      </c>
      <c r="F34" s="215"/>
      <c r="G34" s="214">
        <f t="shared" si="0"/>
        <v>65.3</v>
      </c>
      <c r="H34" s="214">
        <f t="shared" si="1"/>
        <v>49.2</v>
      </c>
      <c r="I34" s="214">
        <f t="shared" si="2"/>
        <v>0</v>
      </c>
    </row>
    <row r="35" spans="1:9" s="211" customFormat="1" ht="15.95" customHeight="1">
      <c r="A35" s="228" t="s">
        <v>119</v>
      </c>
      <c r="B35" s="212" t="s">
        <v>105</v>
      </c>
      <c r="C35" s="224">
        <v>1</v>
      </c>
      <c r="D35" s="215">
        <v>46.46</v>
      </c>
      <c r="E35" s="215">
        <v>34.68</v>
      </c>
      <c r="F35" s="215"/>
      <c r="G35" s="214">
        <f t="shared" si="0"/>
        <v>46.5</v>
      </c>
      <c r="H35" s="214">
        <f t="shared" si="1"/>
        <v>34.700000000000003</v>
      </c>
      <c r="I35" s="214">
        <f t="shared" si="2"/>
        <v>0</v>
      </c>
    </row>
    <row r="36" spans="1:9" s="211" customFormat="1" ht="15.95" customHeight="1">
      <c r="A36" s="228" t="s">
        <v>120</v>
      </c>
      <c r="B36" s="212" t="s">
        <v>105</v>
      </c>
      <c r="C36" s="224">
        <v>2</v>
      </c>
      <c r="D36" s="215">
        <v>49.75</v>
      </c>
      <c r="E36" s="215">
        <v>36.96</v>
      </c>
      <c r="F36" s="215"/>
      <c r="G36" s="214">
        <f t="shared" si="0"/>
        <v>99.5</v>
      </c>
      <c r="H36" s="214">
        <f t="shared" si="1"/>
        <v>73.900000000000006</v>
      </c>
      <c r="I36" s="214">
        <f t="shared" si="2"/>
        <v>0</v>
      </c>
    </row>
    <row r="37" spans="1:9" s="211" customFormat="1" ht="15.95" customHeight="1">
      <c r="A37" s="228" t="s">
        <v>121</v>
      </c>
      <c r="B37" s="212" t="s">
        <v>105</v>
      </c>
      <c r="C37" s="224">
        <v>1</v>
      </c>
      <c r="D37" s="215">
        <v>46.56</v>
      </c>
      <c r="E37" s="215">
        <v>33.24</v>
      </c>
      <c r="F37" s="215"/>
      <c r="G37" s="214">
        <f t="shared" si="0"/>
        <v>46.6</v>
      </c>
      <c r="H37" s="214">
        <f t="shared" si="1"/>
        <v>33.200000000000003</v>
      </c>
      <c r="I37" s="214">
        <f t="shared" si="2"/>
        <v>0</v>
      </c>
    </row>
    <row r="38" spans="1:9" s="211" customFormat="1" ht="15.95" customHeight="1">
      <c r="A38" s="228" t="s">
        <v>122</v>
      </c>
      <c r="B38" s="212" t="s">
        <v>89</v>
      </c>
      <c r="C38" s="213">
        <v>187.4</v>
      </c>
      <c r="D38" s="215">
        <v>0.44</v>
      </c>
      <c r="E38" s="215"/>
      <c r="F38" s="215">
        <v>0.26</v>
      </c>
      <c r="G38" s="214">
        <f t="shared" si="0"/>
        <v>82.5</v>
      </c>
      <c r="H38" s="214">
        <f t="shared" si="1"/>
        <v>0</v>
      </c>
      <c r="I38" s="214">
        <f t="shared" si="2"/>
        <v>48.7</v>
      </c>
    </row>
    <row r="39" spans="1:9" s="211" customFormat="1" ht="15.95" customHeight="1">
      <c r="A39" s="216"/>
      <c r="B39" s="217"/>
      <c r="C39" s="213"/>
      <c r="D39" s="215"/>
      <c r="E39" s="215"/>
      <c r="F39" s="215"/>
      <c r="G39" s="214"/>
      <c r="H39" s="214"/>
      <c r="I39" s="214"/>
    </row>
    <row r="40" spans="1:9" s="211" customFormat="1" ht="15.95" customHeight="1">
      <c r="A40" s="216"/>
      <c r="B40" s="217"/>
      <c r="C40" s="213"/>
      <c r="D40" s="215"/>
      <c r="E40" s="215"/>
      <c r="F40" s="215"/>
      <c r="G40" s="214"/>
      <c r="H40" s="214"/>
      <c r="I40" s="214"/>
    </row>
    <row r="41" spans="1:9" s="211" customFormat="1" ht="15.95" customHeight="1">
      <c r="A41" s="216"/>
      <c r="B41" s="217"/>
      <c r="C41" s="213"/>
      <c r="D41" s="215"/>
      <c r="E41" s="215"/>
      <c r="F41" s="215"/>
      <c r="G41" s="214"/>
      <c r="H41" s="214"/>
      <c r="I41" s="214"/>
    </row>
    <row r="42" spans="1:9" s="211" customFormat="1" ht="15.95" customHeight="1">
      <c r="A42" s="216"/>
      <c r="B42" s="217"/>
      <c r="C42" s="213"/>
      <c r="D42" s="215"/>
      <c r="E42" s="215"/>
      <c r="F42" s="215"/>
      <c r="G42" s="214"/>
      <c r="H42" s="214"/>
      <c r="I42" s="214"/>
    </row>
    <row r="43" spans="1:9" s="211" customFormat="1" ht="15.95" customHeight="1">
      <c r="A43" s="216"/>
      <c r="B43" s="217"/>
      <c r="C43" s="213"/>
      <c r="D43" s="215"/>
      <c r="E43" s="215"/>
      <c r="F43" s="215"/>
      <c r="G43" s="214"/>
      <c r="H43" s="214"/>
      <c r="I43" s="214"/>
    </row>
    <row r="44" spans="1:9" s="211" customFormat="1" ht="15.95" customHeight="1">
      <c r="A44" s="216"/>
      <c r="B44" s="217"/>
      <c r="C44" s="213"/>
      <c r="D44" s="215"/>
      <c r="E44" s="215"/>
      <c r="F44" s="215"/>
      <c r="G44" s="214"/>
      <c r="H44" s="214"/>
      <c r="I44" s="214"/>
    </row>
    <row r="45" spans="1:9" s="211" customFormat="1" ht="15.95" customHeight="1">
      <c r="A45" s="216"/>
      <c r="B45" s="217"/>
      <c r="C45" s="213"/>
      <c r="D45" s="215"/>
      <c r="E45" s="215"/>
      <c r="F45" s="215"/>
      <c r="G45" s="214"/>
      <c r="H45" s="214"/>
      <c r="I45" s="214"/>
    </row>
    <row r="46" spans="1:9" s="211" customFormat="1" ht="15.95" customHeight="1">
      <c r="A46" s="216"/>
      <c r="B46" s="217"/>
      <c r="C46" s="213"/>
      <c r="D46" s="214"/>
      <c r="E46" s="214"/>
      <c r="F46" s="214"/>
      <c r="G46" s="214"/>
      <c r="H46" s="214"/>
      <c r="I46" s="214"/>
    </row>
    <row r="47" spans="1:9" s="211" customFormat="1" ht="15.95" customHeight="1">
      <c r="A47" s="216"/>
      <c r="B47" s="217"/>
      <c r="C47" s="213"/>
      <c r="D47" s="214"/>
      <c r="E47" s="214"/>
      <c r="F47" s="214"/>
      <c r="G47" s="214"/>
      <c r="H47" s="214"/>
      <c r="I47" s="214"/>
    </row>
    <row r="48" spans="1:9" ht="15.95" customHeight="1">
      <c r="A48" s="222" t="s">
        <v>123</v>
      </c>
      <c r="B48" s="212"/>
      <c r="C48" s="218"/>
      <c r="D48" s="214"/>
      <c r="E48" s="214"/>
      <c r="F48" s="214"/>
      <c r="G48" s="214">
        <f>SUM(G5:G47)</f>
        <v>1424.3999999999999</v>
      </c>
      <c r="H48" s="214">
        <f>SUM(H5:H47)</f>
        <v>723.9000000000002</v>
      </c>
      <c r="I48" s="214">
        <f>SUM(I5:I47)</f>
        <v>66.099999999999994</v>
      </c>
    </row>
  </sheetData>
  <mergeCells count="5">
    <mergeCell ref="D2:F2"/>
    <mergeCell ref="G2:I2"/>
    <mergeCell ref="A2:A4"/>
    <mergeCell ref="C2:C4"/>
    <mergeCell ref="B2:B4"/>
  </mergeCells>
  <phoneticPr fontId="24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syncVertical="1" syncRef="U5" transitionEvaluation="1" transitionEntry="1" codeName="Sheet10">
    <tabColor indexed="22"/>
  </sheetPr>
  <dimension ref="A1:AI218"/>
  <sheetViews>
    <sheetView showGridLines="0" tabSelected="1" zoomScale="115" zoomScaleNormal="115" zoomScaleSheetLayoutView="100" workbookViewId="0">
      <pane xSplit="6" ySplit="4" topLeftCell="U5" activePane="bottomRight" state="frozen"/>
      <selection pane="topRight" activeCell="G1" sqref="G1"/>
      <selection pane="bottomLeft"/>
      <selection pane="bottomRight" activeCell="AE1" sqref="AE1:AE218"/>
    </sheetView>
  </sheetViews>
  <sheetFormatPr defaultColWidth="10.7109375" defaultRowHeight="12"/>
  <cols>
    <col min="1" max="2" width="4.7109375" style="4" customWidth="1"/>
    <col min="3" max="3" width="5.7109375" style="4" customWidth="1"/>
    <col min="4" max="4" width="2.5703125" style="4" customWidth="1"/>
    <col min="5" max="5" width="9.5703125" style="4" customWidth="1"/>
    <col min="6" max="6" width="10.140625" style="4" customWidth="1"/>
    <col min="7" max="7" width="10.7109375" style="164" customWidth="1"/>
    <col min="8" max="10" width="10.140625" style="164" hidden="1" customWidth="1"/>
    <col min="11" max="15" width="10.140625" style="170" customWidth="1"/>
    <col min="16" max="16" width="10.140625" style="170" hidden="1" customWidth="1"/>
    <col min="17" max="19" width="10.140625" style="176" customWidth="1"/>
    <col min="20" max="20" width="10.7109375" style="181" customWidth="1"/>
    <col min="21" max="21" width="10.7109375" style="123" customWidth="1"/>
    <col min="22" max="22" width="10.7109375" style="185" customWidth="1"/>
    <col min="23" max="24" width="10.7109375" style="186" customWidth="1"/>
    <col min="25" max="28" width="10.7109375" style="4" customWidth="1"/>
    <col min="29" max="29" width="10.7109375" style="83" customWidth="1"/>
    <col min="30" max="48" width="10.7109375" style="4" customWidth="1"/>
    <col min="49" max="16384" width="10.7109375" style="4"/>
  </cols>
  <sheetData>
    <row r="1" spans="1:35" ht="13.5" customHeight="1"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</row>
    <row r="2" spans="1:35" ht="55.5" customHeight="1" thickBot="1">
      <c r="A2" s="238" t="s">
        <v>124</v>
      </c>
      <c r="B2" s="5" t="s">
        <v>46</v>
      </c>
      <c r="C2" s="6"/>
      <c r="D2" s="6"/>
      <c r="E2" s="6"/>
      <c r="F2" s="7" t="s">
        <v>47</v>
      </c>
      <c r="G2" s="159" t="s">
        <v>135</v>
      </c>
      <c r="H2" s="159"/>
      <c r="I2" s="159"/>
      <c r="J2" s="159"/>
      <c r="K2" s="165" t="s">
        <v>137</v>
      </c>
      <c r="L2" s="240" t="s">
        <v>125</v>
      </c>
      <c r="M2" s="243" t="s">
        <v>126</v>
      </c>
      <c r="N2" s="165" t="s">
        <v>138</v>
      </c>
      <c r="O2" s="165" t="s">
        <v>139</v>
      </c>
      <c r="P2" s="165"/>
      <c r="Q2" s="171" t="s">
        <v>140</v>
      </c>
      <c r="R2" s="171" t="s">
        <v>141</v>
      </c>
      <c r="S2" s="171" t="s">
        <v>142</v>
      </c>
      <c r="T2" s="177" t="s">
        <v>136</v>
      </c>
      <c r="U2" s="237" t="s">
        <v>143</v>
      </c>
      <c r="V2" s="237" t="s">
        <v>144</v>
      </c>
      <c r="W2" s="237" t="s">
        <v>145</v>
      </c>
      <c r="X2" s="119" t="s">
        <v>29</v>
      </c>
      <c r="Y2" s="182" t="s">
        <v>127</v>
      </c>
      <c r="Z2" s="182" t="s">
        <v>128</v>
      </c>
      <c r="AA2" s="182" t="s">
        <v>129</v>
      </c>
      <c r="AB2" s="182" t="s">
        <v>130</v>
      </c>
      <c r="AC2" s="182" t="s">
        <v>39</v>
      </c>
      <c r="AD2" s="182" t="s">
        <v>148</v>
      </c>
      <c r="AE2" s="182" t="s">
        <v>78</v>
      </c>
    </row>
    <row r="3" spans="1:35" ht="12.75" thickTop="1">
      <c r="A3" s="239"/>
      <c r="B3" s="8"/>
      <c r="E3" s="9"/>
      <c r="F3" s="10"/>
      <c r="G3" s="160" t="s">
        <v>48</v>
      </c>
      <c r="H3" s="160" t="s">
        <v>48</v>
      </c>
      <c r="I3" s="160" t="s">
        <v>48</v>
      </c>
      <c r="J3" s="160" t="s">
        <v>48</v>
      </c>
      <c r="K3" s="166" t="s">
        <v>48</v>
      </c>
      <c r="L3" s="241"/>
      <c r="M3" s="241"/>
      <c r="N3" s="166" t="s">
        <v>48</v>
      </c>
      <c r="O3" s="166" t="s">
        <v>48</v>
      </c>
      <c r="P3" s="166" t="s">
        <v>48</v>
      </c>
      <c r="Q3" s="172" t="s">
        <v>48</v>
      </c>
      <c r="R3" s="172" t="s">
        <v>48</v>
      </c>
      <c r="S3" s="172" t="s">
        <v>48</v>
      </c>
      <c r="T3" s="178" t="s">
        <v>48</v>
      </c>
      <c r="U3" s="120" t="s">
        <v>48</v>
      </c>
      <c r="V3" s="120" t="s">
        <v>48</v>
      </c>
      <c r="W3" s="120" t="s">
        <v>48</v>
      </c>
      <c r="X3" s="120" t="s">
        <v>48</v>
      </c>
      <c r="Y3" s="41" t="s">
        <v>131</v>
      </c>
      <c r="Z3" s="41" t="s">
        <v>131</v>
      </c>
      <c r="AA3" s="41" t="s">
        <v>131</v>
      </c>
      <c r="AB3" s="41" t="s">
        <v>131</v>
      </c>
      <c r="AC3" s="41" t="s">
        <v>146</v>
      </c>
      <c r="AD3" s="41" t="s">
        <v>48</v>
      </c>
      <c r="AE3" s="41" t="s">
        <v>48</v>
      </c>
    </row>
    <row r="4" spans="1:35" ht="12.6" customHeight="1" thickBot="1">
      <c r="A4" s="239"/>
      <c r="B4" s="15" t="s">
        <v>51</v>
      </c>
      <c r="C4" s="16"/>
      <c r="D4" s="16"/>
      <c r="E4" s="53">
        <v>20</v>
      </c>
      <c r="F4" s="17" t="s">
        <v>52</v>
      </c>
      <c r="G4" s="161" t="s">
        <v>132</v>
      </c>
      <c r="H4" s="161" t="s">
        <v>132</v>
      </c>
      <c r="I4" s="161" t="s">
        <v>132</v>
      </c>
      <c r="J4" s="161" t="s">
        <v>132</v>
      </c>
      <c r="K4" s="167" t="s">
        <v>132</v>
      </c>
      <c r="L4" s="242"/>
      <c r="M4" s="242"/>
      <c r="N4" s="167" t="s">
        <v>132</v>
      </c>
      <c r="O4" s="167" t="s">
        <v>132</v>
      </c>
      <c r="P4" s="167" t="s">
        <v>132</v>
      </c>
      <c r="Q4" s="173" t="s">
        <v>132</v>
      </c>
      <c r="R4" s="173" t="s">
        <v>132</v>
      </c>
      <c r="S4" s="173" t="s">
        <v>132</v>
      </c>
      <c r="T4" s="179" t="s">
        <v>132</v>
      </c>
      <c r="U4" s="121" t="s">
        <v>132</v>
      </c>
      <c r="V4" s="121" t="s">
        <v>132</v>
      </c>
      <c r="W4" s="121" t="s">
        <v>132</v>
      </c>
      <c r="X4" s="121" t="s">
        <v>132</v>
      </c>
      <c r="Y4" s="42" t="s">
        <v>52</v>
      </c>
      <c r="Z4" s="42" t="s">
        <v>52</v>
      </c>
      <c r="AA4" s="42" t="s">
        <v>52</v>
      </c>
      <c r="AB4" s="42" t="s">
        <v>52</v>
      </c>
      <c r="AC4" s="42" t="s">
        <v>147</v>
      </c>
      <c r="AD4" s="42" t="s">
        <v>132</v>
      </c>
      <c r="AE4" s="42" t="s">
        <v>132</v>
      </c>
      <c r="AF4" s="84" t="s">
        <v>149</v>
      </c>
      <c r="AG4" s="84" t="s">
        <v>150</v>
      </c>
      <c r="AH4" s="84" t="s">
        <v>151</v>
      </c>
      <c r="AI4" s="84" t="s">
        <v>152</v>
      </c>
    </row>
    <row r="5" spans="1:35" ht="12.6" customHeight="1" thickTop="1">
      <c r="A5" s="4">
        <v>1</v>
      </c>
      <c r="B5" s="31" t="s">
        <v>55</v>
      </c>
      <c r="C5" s="188"/>
      <c r="D5" s="36" t="s">
        <v>56</v>
      </c>
      <c r="E5" s="187"/>
      <c r="F5" s="20"/>
      <c r="G5" s="163"/>
      <c r="H5" s="162"/>
      <c r="I5" s="162"/>
      <c r="J5" s="162"/>
      <c r="K5" s="169"/>
      <c r="L5" s="234"/>
      <c r="M5" s="234"/>
      <c r="N5" s="168"/>
      <c r="O5" s="169"/>
      <c r="P5" s="168"/>
      <c r="Q5" s="174"/>
      <c r="R5" s="174"/>
      <c r="S5" s="174"/>
      <c r="T5" s="180"/>
      <c r="U5" s="122"/>
      <c r="V5" s="122"/>
      <c r="W5" s="122"/>
      <c r="X5" s="122"/>
      <c r="Y5" s="183"/>
      <c r="Z5" s="183"/>
      <c r="AA5" s="183"/>
      <c r="AB5" s="183"/>
      <c r="AC5" s="183"/>
      <c r="AD5" s="183"/>
      <c r="AE5" s="183"/>
      <c r="AF5" s="125" t="str">
        <f>IF(ISBLANK(C5),"",G5)</f>
        <v/>
      </c>
      <c r="AG5" s="125" t="str">
        <f>IF(ISBLANK(C5),"",SUM(K5:X5))</f>
        <v/>
      </c>
      <c r="AH5" s="125" t="str">
        <f>IF(ISBLANK(C5),"",SUM(Y5:Z5))</f>
        <v/>
      </c>
      <c r="AI5" s="125" t="str">
        <f>IF(ISBLANK(C5),"",SUM(AA5:AB5))</f>
        <v/>
      </c>
    </row>
    <row r="6" spans="1:35">
      <c r="A6" s="4">
        <v>2</v>
      </c>
      <c r="B6" s="32" t="s">
        <v>55</v>
      </c>
      <c r="C6" s="188"/>
      <c r="D6" s="37" t="s">
        <v>56</v>
      </c>
      <c r="E6" s="189"/>
      <c r="F6" s="24" t="str">
        <f t="shared" ref="F6:F37" si="0">IF(ISBLANK(C6),"",(C6-C5)*$E$4+(E6-E5))</f>
        <v/>
      </c>
      <c r="G6" s="163"/>
      <c r="H6" s="163"/>
      <c r="I6" s="163"/>
      <c r="J6" s="163"/>
      <c r="K6" s="169"/>
      <c r="L6" s="235"/>
      <c r="M6" s="235"/>
      <c r="N6" s="169"/>
      <c r="O6" s="169"/>
      <c r="P6" s="169"/>
      <c r="Q6" s="175"/>
      <c r="R6" s="175"/>
      <c r="S6" s="175"/>
      <c r="T6" s="180"/>
      <c r="U6" s="122"/>
      <c r="V6" s="122"/>
      <c r="W6" s="122"/>
      <c r="X6" s="122"/>
      <c r="Y6" s="184"/>
      <c r="Z6" s="184"/>
      <c r="AA6" s="184"/>
      <c r="AB6" s="184"/>
      <c r="AC6" s="184"/>
      <c r="AD6" s="184"/>
      <c r="AE6" s="184"/>
      <c r="AF6" s="125" t="str">
        <f t="shared" ref="AF6:AF69" si="1">IF(ISBLANK(C6),"",G6)</f>
        <v/>
      </c>
      <c r="AG6" s="125" t="str">
        <f t="shared" ref="AG6:AG69" si="2">IF(ISBLANK(C6),"",SUM(K6:X6))</f>
        <v/>
      </c>
      <c r="AH6" s="125" t="str">
        <f t="shared" ref="AH6:AH69" si="3">IF(ISBLANK(C6),"",SUM(Y6:Z6))</f>
        <v/>
      </c>
      <c r="AI6" s="125" t="str">
        <f t="shared" ref="AI6:AI69" si="4">IF(ISBLANK(C6),"",SUM(AA6:AB6))</f>
        <v/>
      </c>
    </row>
    <row r="7" spans="1:35" s="27" customFormat="1">
      <c r="A7" s="4">
        <v>3</v>
      </c>
      <c r="B7" s="32" t="s">
        <v>55</v>
      </c>
      <c r="C7" s="188"/>
      <c r="D7" s="37" t="s">
        <v>56</v>
      </c>
      <c r="E7" s="189"/>
      <c r="F7" s="24" t="str">
        <f t="shared" si="0"/>
        <v/>
      </c>
      <c r="G7" s="163"/>
      <c r="H7" s="163"/>
      <c r="I7" s="163"/>
      <c r="J7" s="163"/>
      <c r="K7" s="169"/>
      <c r="L7" s="235"/>
      <c r="M7" s="235"/>
      <c r="N7" s="169"/>
      <c r="O7" s="169"/>
      <c r="P7" s="169"/>
      <c r="Q7" s="175"/>
      <c r="R7" s="175"/>
      <c r="S7" s="175"/>
      <c r="T7" s="180"/>
      <c r="U7" s="122"/>
      <c r="V7" s="122"/>
      <c r="W7" s="122"/>
      <c r="X7" s="122"/>
      <c r="Y7" s="184"/>
      <c r="Z7" s="184"/>
      <c r="AA7" s="184"/>
      <c r="AB7" s="184"/>
      <c r="AC7" s="184"/>
      <c r="AD7" s="184"/>
      <c r="AE7" s="184"/>
      <c r="AF7" s="125" t="str">
        <f t="shared" si="1"/>
        <v/>
      </c>
      <c r="AG7" s="125" t="str">
        <f t="shared" si="2"/>
        <v/>
      </c>
      <c r="AH7" s="125" t="str">
        <f t="shared" si="3"/>
        <v/>
      </c>
      <c r="AI7" s="125" t="str">
        <f t="shared" si="4"/>
        <v/>
      </c>
    </row>
    <row r="8" spans="1:35" s="27" customFormat="1">
      <c r="A8" s="4">
        <v>4</v>
      </c>
      <c r="B8" s="32" t="s">
        <v>55</v>
      </c>
      <c r="C8" s="188"/>
      <c r="D8" s="37" t="s">
        <v>56</v>
      </c>
      <c r="E8" s="189"/>
      <c r="F8" s="24" t="str">
        <f t="shared" si="0"/>
        <v/>
      </c>
      <c r="G8" s="163"/>
      <c r="H8" s="163"/>
      <c r="I8" s="163"/>
      <c r="J8" s="163"/>
      <c r="K8" s="169"/>
      <c r="L8" s="235"/>
      <c r="M8" s="235"/>
      <c r="N8" s="169"/>
      <c r="O8" s="169"/>
      <c r="P8" s="169"/>
      <c r="Q8" s="175"/>
      <c r="R8" s="175"/>
      <c r="S8" s="175"/>
      <c r="T8" s="180"/>
      <c r="U8" s="122"/>
      <c r="V8" s="122"/>
      <c r="W8" s="122"/>
      <c r="X8" s="122"/>
      <c r="Y8" s="184"/>
      <c r="Z8" s="184"/>
      <c r="AA8" s="184"/>
      <c r="AB8" s="184"/>
      <c r="AC8" s="184"/>
      <c r="AD8" s="184"/>
      <c r="AE8" s="184"/>
      <c r="AF8" s="125" t="str">
        <f t="shared" si="1"/>
        <v/>
      </c>
      <c r="AG8" s="125" t="str">
        <f t="shared" si="2"/>
        <v/>
      </c>
      <c r="AH8" s="125" t="str">
        <f t="shared" si="3"/>
        <v/>
      </c>
      <c r="AI8" s="125" t="str">
        <f t="shared" si="4"/>
        <v/>
      </c>
    </row>
    <row r="9" spans="1:35">
      <c r="A9" s="4">
        <v>5</v>
      </c>
      <c r="B9" s="32" t="s">
        <v>55</v>
      </c>
      <c r="C9" s="188"/>
      <c r="D9" s="37" t="s">
        <v>56</v>
      </c>
      <c r="E9" s="189"/>
      <c r="F9" s="24" t="str">
        <f t="shared" si="0"/>
        <v/>
      </c>
      <c r="G9" s="163"/>
      <c r="H9" s="163"/>
      <c r="I9" s="163"/>
      <c r="J9" s="163"/>
      <c r="K9" s="169"/>
      <c r="L9" s="235"/>
      <c r="M9" s="235"/>
      <c r="N9" s="169"/>
      <c r="O9" s="169"/>
      <c r="P9" s="169"/>
      <c r="Q9" s="175"/>
      <c r="R9" s="175"/>
      <c r="S9" s="175"/>
      <c r="T9" s="180"/>
      <c r="U9" s="122"/>
      <c r="V9" s="122"/>
      <c r="W9" s="122"/>
      <c r="X9" s="122"/>
      <c r="Y9" s="184"/>
      <c r="Z9" s="184"/>
      <c r="AA9" s="184"/>
      <c r="AB9" s="184"/>
      <c r="AC9" s="184"/>
      <c r="AD9" s="184"/>
      <c r="AE9" s="184"/>
      <c r="AF9" s="125" t="str">
        <f t="shared" si="1"/>
        <v/>
      </c>
      <c r="AG9" s="125" t="str">
        <f t="shared" si="2"/>
        <v/>
      </c>
      <c r="AH9" s="125" t="str">
        <f t="shared" si="3"/>
        <v/>
      </c>
      <c r="AI9" s="125" t="str">
        <f t="shared" si="4"/>
        <v/>
      </c>
    </row>
    <row r="10" spans="1:35">
      <c r="A10" s="4">
        <v>6</v>
      </c>
      <c r="B10" s="32" t="s">
        <v>55</v>
      </c>
      <c r="C10" s="188"/>
      <c r="D10" s="37" t="s">
        <v>56</v>
      </c>
      <c r="E10" s="189"/>
      <c r="F10" s="24" t="str">
        <f t="shared" si="0"/>
        <v/>
      </c>
      <c r="G10" s="163"/>
      <c r="H10" s="163"/>
      <c r="I10" s="163"/>
      <c r="J10" s="163"/>
      <c r="K10" s="169"/>
      <c r="L10" s="235"/>
      <c r="M10" s="235"/>
      <c r="N10" s="169"/>
      <c r="O10" s="169"/>
      <c r="P10" s="169"/>
      <c r="Q10" s="175"/>
      <c r="R10" s="175"/>
      <c r="S10" s="175"/>
      <c r="T10" s="180"/>
      <c r="U10" s="122"/>
      <c r="V10" s="122"/>
      <c r="W10" s="122"/>
      <c r="X10" s="122"/>
      <c r="Y10" s="184"/>
      <c r="Z10" s="184"/>
      <c r="AA10" s="184"/>
      <c r="AB10" s="184"/>
      <c r="AC10" s="184"/>
      <c r="AD10" s="184"/>
      <c r="AE10" s="184"/>
      <c r="AF10" s="125" t="str">
        <f t="shared" si="1"/>
        <v/>
      </c>
      <c r="AG10" s="125" t="str">
        <f t="shared" si="2"/>
        <v/>
      </c>
      <c r="AH10" s="125" t="str">
        <f t="shared" si="3"/>
        <v/>
      </c>
      <c r="AI10" s="125" t="str">
        <f t="shared" si="4"/>
        <v/>
      </c>
    </row>
    <row r="11" spans="1:35" s="27" customFormat="1">
      <c r="A11" s="4">
        <v>7</v>
      </c>
      <c r="B11" s="32" t="s">
        <v>55</v>
      </c>
      <c r="C11" s="188"/>
      <c r="D11" s="37" t="s">
        <v>56</v>
      </c>
      <c r="E11" s="189"/>
      <c r="F11" s="24" t="str">
        <f t="shared" si="0"/>
        <v/>
      </c>
      <c r="G11" s="163"/>
      <c r="H11" s="163"/>
      <c r="I11" s="163"/>
      <c r="J11" s="163"/>
      <c r="K11" s="169"/>
      <c r="L11" s="235"/>
      <c r="M11" s="235"/>
      <c r="N11" s="169"/>
      <c r="O11" s="169"/>
      <c r="P11" s="169"/>
      <c r="Q11" s="175"/>
      <c r="R11" s="175"/>
      <c r="S11" s="175"/>
      <c r="T11" s="180"/>
      <c r="U11" s="122"/>
      <c r="V11" s="122"/>
      <c r="W11" s="122"/>
      <c r="X11" s="122"/>
      <c r="Y11" s="184"/>
      <c r="Z11" s="184"/>
      <c r="AA11" s="184"/>
      <c r="AB11" s="184"/>
      <c r="AC11" s="184"/>
      <c r="AD11" s="184"/>
      <c r="AE11" s="184"/>
      <c r="AF11" s="125" t="str">
        <f t="shared" si="1"/>
        <v/>
      </c>
      <c r="AG11" s="125" t="str">
        <f t="shared" si="2"/>
        <v/>
      </c>
      <c r="AH11" s="125" t="str">
        <f t="shared" si="3"/>
        <v/>
      </c>
      <c r="AI11" s="125" t="str">
        <f t="shared" si="4"/>
        <v/>
      </c>
    </row>
    <row r="12" spans="1:35" s="27" customFormat="1">
      <c r="A12" s="4">
        <v>8</v>
      </c>
      <c r="B12" s="32" t="s">
        <v>55</v>
      </c>
      <c r="C12" s="188"/>
      <c r="D12" s="37" t="s">
        <v>56</v>
      </c>
      <c r="E12" s="189"/>
      <c r="F12" s="24" t="str">
        <f t="shared" si="0"/>
        <v/>
      </c>
      <c r="G12" s="163"/>
      <c r="H12" s="163"/>
      <c r="I12" s="163"/>
      <c r="J12" s="163"/>
      <c r="K12" s="169"/>
      <c r="L12" s="235"/>
      <c r="M12" s="235"/>
      <c r="N12" s="169"/>
      <c r="O12" s="169"/>
      <c r="P12" s="169"/>
      <c r="Q12" s="175"/>
      <c r="R12" s="175"/>
      <c r="S12" s="175"/>
      <c r="T12" s="180"/>
      <c r="U12" s="122"/>
      <c r="V12" s="122"/>
      <c r="W12" s="122"/>
      <c r="X12" s="122"/>
      <c r="Y12" s="184"/>
      <c r="Z12" s="184"/>
      <c r="AA12" s="184"/>
      <c r="AB12" s="184"/>
      <c r="AC12" s="184"/>
      <c r="AD12" s="184"/>
      <c r="AE12" s="184"/>
      <c r="AF12" s="125" t="str">
        <f t="shared" si="1"/>
        <v/>
      </c>
      <c r="AG12" s="125" t="str">
        <f t="shared" si="2"/>
        <v/>
      </c>
      <c r="AH12" s="125" t="str">
        <f t="shared" si="3"/>
        <v/>
      </c>
      <c r="AI12" s="125" t="str">
        <f t="shared" si="4"/>
        <v/>
      </c>
    </row>
    <row r="13" spans="1:35">
      <c r="A13" s="4">
        <v>9</v>
      </c>
      <c r="B13" s="32" t="s">
        <v>55</v>
      </c>
      <c r="C13" s="188"/>
      <c r="D13" s="37" t="s">
        <v>56</v>
      </c>
      <c r="E13" s="189"/>
      <c r="F13" s="24" t="str">
        <f t="shared" si="0"/>
        <v/>
      </c>
      <c r="G13" s="163"/>
      <c r="H13" s="163"/>
      <c r="I13" s="163"/>
      <c r="J13" s="163"/>
      <c r="K13" s="169"/>
      <c r="L13" s="235"/>
      <c r="M13" s="235"/>
      <c r="N13" s="169"/>
      <c r="O13" s="169"/>
      <c r="P13" s="169"/>
      <c r="Q13" s="175"/>
      <c r="R13" s="175"/>
      <c r="S13" s="175"/>
      <c r="T13" s="180"/>
      <c r="U13" s="122"/>
      <c r="V13" s="122"/>
      <c r="W13" s="122"/>
      <c r="X13" s="122"/>
      <c r="Y13" s="184"/>
      <c r="Z13" s="184"/>
      <c r="AA13" s="184"/>
      <c r="AB13" s="184"/>
      <c r="AC13" s="184"/>
      <c r="AD13" s="184"/>
      <c r="AE13" s="184"/>
      <c r="AF13" s="125" t="str">
        <f t="shared" si="1"/>
        <v/>
      </c>
      <c r="AG13" s="125" t="str">
        <f t="shared" si="2"/>
        <v/>
      </c>
      <c r="AH13" s="125" t="str">
        <f t="shared" si="3"/>
        <v/>
      </c>
      <c r="AI13" s="125" t="str">
        <f t="shared" si="4"/>
        <v/>
      </c>
    </row>
    <row r="14" spans="1:35">
      <c r="A14" s="4">
        <v>10</v>
      </c>
      <c r="B14" s="32" t="s">
        <v>55</v>
      </c>
      <c r="C14" s="188"/>
      <c r="D14" s="37" t="s">
        <v>56</v>
      </c>
      <c r="E14" s="189"/>
      <c r="F14" s="24" t="str">
        <f t="shared" si="0"/>
        <v/>
      </c>
      <c r="G14" s="163"/>
      <c r="H14" s="163"/>
      <c r="I14" s="163"/>
      <c r="J14" s="163"/>
      <c r="K14" s="169"/>
      <c r="L14" s="235"/>
      <c r="M14" s="235"/>
      <c r="N14" s="169"/>
      <c r="O14" s="169"/>
      <c r="P14" s="169"/>
      <c r="Q14" s="175"/>
      <c r="R14" s="175"/>
      <c r="S14" s="175"/>
      <c r="T14" s="180"/>
      <c r="U14" s="122"/>
      <c r="V14" s="122"/>
      <c r="W14" s="122"/>
      <c r="X14" s="122"/>
      <c r="Y14" s="184"/>
      <c r="Z14" s="184"/>
      <c r="AA14" s="184"/>
      <c r="AB14" s="184"/>
      <c r="AC14" s="184"/>
      <c r="AD14" s="184"/>
      <c r="AE14" s="184"/>
      <c r="AF14" s="125" t="str">
        <f t="shared" si="1"/>
        <v/>
      </c>
      <c r="AG14" s="125" t="str">
        <f t="shared" si="2"/>
        <v/>
      </c>
      <c r="AH14" s="125" t="str">
        <f t="shared" si="3"/>
        <v/>
      </c>
      <c r="AI14" s="125" t="str">
        <f t="shared" si="4"/>
        <v/>
      </c>
    </row>
    <row r="15" spans="1:35">
      <c r="A15" s="4">
        <v>11</v>
      </c>
      <c r="B15" s="32" t="s">
        <v>55</v>
      </c>
      <c r="C15" s="188"/>
      <c r="D15" s="37" t="s">
        <v>56</v>
      </c>
      <c r="E15" s="189"/>
      <c r="F15" s="24" t="str">
        <f t="shared" si="0"/>
        <v/>
      </c>
      <c r="G15" s="163"/>
      <c r="H15" s="163"/>
      <c r="I15" s="163"/>
      <c r="J15" s="163"/>
      <c r="K15" s="169"/>
      <c r="L15" s="235"/>
      <c r="M15" s="235"/>
      <c r="N15" s="169"/>
      <c r="O15" s="169"/>
      <c r="P15" s="169"/>
      <c r="Q15" s="175"/>
      <c r="R15" s="175"/>
      <c r="S15" s="175"/>
      <c r="T15" s="180"/>
      <c r="U15" s="122"/>
      <c r="V15" s="122"/>
      <c r="W15" s="122"/>
      <c r="X15" s="122"/>
      <c r="Y15" s="184"/>
      <c r="Z15" s="184"/>
      <c r="AA15" s="184"/>
      <c r="AB15" s="184"/>
      <c r="AC15" s="184"/>
      <c r="AD15" s="184"/>
      <c r="AE15" s="184"/>
      <c r="AF15" s="125" t="str">
        <f t="shared" si="1"/>
        <v/>
      </c>
      <c r="AG15" s="125" t="str">
        <f t="shared" si="2"/>
        <v/>
      </c>
      <c r="AH15" s="125" t="str">
        <f t="shared" si="3"/>
        <v/>
      </c>
      <c r="AI15" s="125" t="str">
        <f t="shared" si="4"/>
        <v/>
      </c>
    </row>
    <row r="16" spans="1:35" s="27" customFormat="1">
      <c r="A16" s="4">
        <v>12</v>
      </c>
      <c r="B16" s="32" t="s">
        <v>55</v>
      </c>
      <c r="C16" s="188"/>
      <c r="D16" s="37" t="s">
        <v>56</v>
      </c>
      <c r="E16" s="189"/>
      <c r="F16" s="24" t="str">
        <f t="shared" si="0"/>
        <v/>
      </c>
      <c r="G16" s="163"/>
      <c r="H16" s="163"/>
      <c r="I16" s="163"/>
      <c r="J16" s="163"/>
      <c r="K16" s="169"/>
      <c r="L16" s="235"/>
      <c r="M16" s="235"/>
      <c r="N16" s="169"/>
      <c r="O16" s="169"/>
      <c r="P16" s="169"/>
      <c r="Q16" s="175"/>
      <c r="R16" s="175"/>
      <c r="S16" s="175"/>
      <c r="T16" s="180"/>
      <c r="U16" s="122"/>
      <c r="V16" s="122"/>
      <c r="W16" s="122"/>
      <c r="X16" s="122"/>
      <c r="Y16" s="184"/>
      <c r="Z16" s="184"/>
      <c r="AA16" s="184"/>
      <c r="AB16" s="184"/>
      <c r="AC16" s="184"/>
      <c r="AD16" s="184"/>
      <c r="AE16" s="184"/>
      <c r="AF16" s="125" t="str">
        <f t="shared" si="1"/>
        <v/>
      </c>
      <c r="AG16" s="125" t="str">
        <f t="shared" si="2"/>
        <v/>
      </c>
      <c r="AH16" s="125" t="str">
        <f t="shared" si="3"/>
        <v/>
      </c>
      <c r="AI16" s="125" t="str">
        <f t="shared" si="4"/>
        <v/>
      </c>
    </row>
    <row r="17" spans="1:35">
      <c r="A17" s="4">
        <v>13</v>
      </c>
      <c r="B17" s="32" t="s">
        <v>55</v>
      </c>
      <c r="C17" s="188"/>
      <c r="D17" s="37" t="s">
        <v>56</v>
      </c>
      <c r="E17" s="189"/>
      <c r="F17" s="24" t="str">
        <f t="shared" si="0"/>
        <v/>
      </c>
      <c r="G17" s="163"/>
      <c r="H17" s="163"/>
      <c r="I17" s="163"/>
      <c r="J17" s="163"/>
      <c r="K17" s="169"/>
      <c r="L17" s="235"/>
      <c r="M17" s="235"/>
      <c r="N17" s="169"/>
      <c r="O17" s="169"/>
      <c r="P17" s="169"/>
      <c r="Q17" s="175"/>
      <c r="R17" s="175"/>
      <c r="S17" s="175"/>
      <c r="T17" s="180"/>
      <c r="U17" s="122"/>
      <c r="V17" s="122"/>
      <c r="W17" s="122"/>
      <c r="X17" s="122"/>
      <c r="Y17" s="184"/>
      <c r="Z17" s="184"/>
      <c r="AA17" s="184"/>
      <c r="AB17" s="184"/>
      <c r="AC17" s="184"/>
      <c r="AD17" s="184"/>
      <c r="AE17" s="184"/>
      <c r="AF17" s="125" t="str">
        <f t="shared" si="1"/>
        <v/>
      </c>
      <c r="AG17" s="125" t="str">
        <f t="shared" si="2"/>
        <v/>
      </c>
      <c r="AH17" s="125" t="str">
        <f t="shared" si="3"/>
        <v/>
      </c>
      <c r="AI17" s="125" t="str">
        <f t="shared" si="4"/>
        <v/>
      </c>
    </row>
    <row r="18" spans="1:35">
      <c r="A18" s="4">
        <v>14</v>
      </c>
      <c r="B18" s="32" t="s">
        <v>55</v>
      </c>
      <c r="C18" s="188"/>
      <c r="D18" s="37" t="s">
        <v>56</v>
      </c>
      <c r="E18" s="189"/>
      <c r="F18" s="24" t="str">
        <f t="shared" si="0"/>
        <v/>
      </c>
      <c r="G18" s="163"/>
      <c r="H18" s="163"/>
      <c r="I18" s="163"/>
      <c r="J18" s="163"/>
      <c r="K18" s="169"/>
      <c r="L18" s="235"/>
      <c r="M18" s="235"/>
      <c r="N18" s="169"/>
      <c r="O18" s="169"/>
      <c r="P18" s="169"/>
      <c r="Q18" s="175"/>
      <c r="R18" s="175"/>
      <c r="S18" s="175"/>
      <c r="T18" s="180"/>
      <c r="U18" s="122"/>
      <c r="V18" s="122"/>
      <c r="W18" s="122"/>
      <c r="X18" s="122"/>
      <c r="Y18" s="184"/>
      <c r="Z18" s="184"/>
      <c r="AA18" s="184"/>
      <c r="AB18" s="184"/>
      <c r="AC18" s="184"/>
      <c r="AD18" s="184"/>
      <c r="AE18" s="184"/>
      <c r="AF18" s="125" t="str">
        <f t="shared" si="1"/>
        <v/>
      </c>
      <c r="AG18" s="125" t="str">
        <f t="shared" si="2"/>
        <v/>
      </c>
      <c r="AH18" s="125" t="str">
        <f t="shared" si="3"/>
        <v/>
      </c>
      <c r="AI18" s="125" t="str">
        <f t="shared" si="4"/>
        <v/>
      </c>
    </row>
    <row r="19" spans="1:35">
      <c r="A19" s="4">
        <v>15</v>
      </c>
      <c r="B19" s="32" t="s">
        <v>55</v>
      </c>
      <c r="C19" s="188"/>
      <c r="D19" s="37" t="s">
        <v>56</v>
      </c>
      <c r="E19" s="189"/>
      <c r="F19" s="24" t="str">
        <f t="shared" si="0"/>
        <v/>
      </c>
      <c r="G19" s="163"/>
      <c r="H19" s="163"/>
      <c r="I19" s="163"/>
      <c r="J19" s="163"/>
      <c r="K19" s="169"/>
      <c r="L19" s="235"/>
      <c r="M19" s="235"/>
      <c r="N19" s="169"/>
      <c r="O19" s="169"/>
      <c r="P19" s="169"/>
      <c r="Q19" s="175"/>
      <c r="R19" s="175"/>
      <c r="S19" s="175"/>
      <c r="T19" s="180"/>
      <c r="U19" s="122"/>
      <c r="V19" s="122"/>
      <c r="W19" s="122"/>
      <c r="X19" s="122"/>
      <c r="Y19" s="184"/>
      <c r="Z19" s="184"/>
      <c r="AA19" s="184"/>
      <c r="AB19" s="184"/>
      <c r="AC19" s="184"/>
      <c r="AD19" s="184"/>
      <c r="AE19" s="184"/>
      <c r="AF19" s="125" t="str">
        <f t="shared" si="1"/>
        <v/>
      </c>
      <c r="AG19" s="125" t="str">
        <f t="shared" si="2"/>
        <v/>
      </c>
      <c r="AH19" s="125" t="str">
        <f t="shared" si="3"/>
        <v/>
      </c>
      <c r="AI19" s="125" t="str">
        <f t="shared" si="4"/>
        <v/>
      </c>
    </row>
    <row r="20" spans="1:35">
      <c r="A20" s="4">
        <v>16</v>
      </c>
      <c r="B20" s="32" t="s">
        <v>55</v>
      </c>
      <c r="C20" s="188"/>
      <c r="D20" s="37" t="s">
        <v>56</v>
      </c>
      <c r="E20" s="189"/>
      <c r="F20" s="24" t="str">
        <f t="shared" si="0"/>
        <v/>
      </c>
      <c r="G20" s="163"/>
      <c r="H20" s="163"/>
      <c r="I20" s="163"/>
      <c r="J20" s="163"/>
      <c r="K20" s="169"/>
      <c r="L20" s="235"/>
      <c r="M20" s="235"/>
      <c r="N20" s="169"/>
      <c r="O20" s="169"/>
      <c r="P20" s="169"/>
      <c r="Q20" s="175"/>
      <c r="R20" s="175"/>
      <c r="S20" s="175"/>
      <c r="T20" s="180"/>
      <c r="U20" s="122"/>
      <c r="V20" s="122"/>
      <c r="W20" s="122"/>
      <c r="X20" s="122"/>
      <c r="Y20" s="184"/>
      <c r="Z20" s="184"/>
      <c r="AA20" s="184"/>
      <c r="AB20" s="184"/>
      <c r="AC20" s="184"/>
      <c r="AD20" s="184"/>
      <c r="AE20" s="184"/>
      <c r="AF20" s="125" t="str">
        <f t="shared" si="1"/>
        <v/>
      </c>
      <c r="AG20" s="125" t="str">
        <f t="shared" si="2"/>
        <v/>
      </c>
      <c r="AH20" s="125" t="str">
        <f t="shared" si="3"/>
        <v/>
      </c>
      <c r="AI20" s="125" t="str">
        <f t="shared" si="4"/>
        <v/>
      </c>
    </row>
    <row r="21" spans="1:35">
      <c r="A21" s="4">
        <v>17</v>
      </c>
      <c r="B21" s="32" t="s">
        <v>55</v>
      </c>
      <c r="C21" s="188"/>
      <c r="D21" s="37" t="s">
        <v>56</v>
      </c>
      <c r="E21" s="189"/>
      <c r="F21" s="24" t="str">
        <f t="shared" si="0"/>
        <v/>
      </c>
      <c r="G21" s="163"/>
      <c r="H21" s="163"/>
      <c r="I21" s="163"/>
      <c r="J21" s="163"/>
      <c r="K21" s="169"/>
      <c r="L21" s="235"/>
      <c r="M21" s="235"/>
      <c r="N21" s="169"/>
      <c r="O21" s="169"/>
      <c r="P21" s="169"/>
      <c r="Q21" s="175"/>
      <c r="R21" s="175"/>
      <c r="S21" s="175"/>
      <c r="T21" s="180"/>
      <c r="U21" s="122"/>
      <c r="V21" s="122"/>
      <c r="W21" s="122"/>
      <c r="X21" s="122"/>
      <c r="Y21" s="184"/>
      <c r="Z21" s="184"/>
      <c r="AA21" s="184"/>
      <c r="AB21" s="184"/>
      <c r="AC21" s="184"/>
      <c r="AD21" s="184"/>
      <c r="AE21" s="184"/>
      <c r="AF21" s="125" t="str">
        <f t="shared" si="1"/>
        <v/>
      </c>
      <c r="AG21" s="125" t="str">
        <f t="shared" si="2"/>
        <v/>
      </c>
      <c r="AH21" s="125" t="str">
        <f t="shared" si="3"/>
        <v/>
      </c>
      <c r="AI21" s="125" t="str">
        <f t="shared" si="4"/>
        <v/>
      </c>
    </row>
    <row r="22" spans="1:35" s="27" customFormat="1">
      <c r="A22" s="4">
        <v>18</v>
      </c>
      <c r="B22" s="32" t="s">
        <v>55</v>
      </c>
      <c r="C22" s="188"/>
      <c r="D22" s="37" t="s">
        <v>56</v>
      </c>
      <c r="E22" s="189"/>
      <c r="F22" s="24" t="str">
        <f t="shared" si="0"/>
        <v/>
      </c>
      <c r="G22" s="163"/>
      <c r="H22" s="163"/>
      <c r="I22" s="163"/>
      <c r="J22" s="163"/>
      <c r="K22" s="169"/>
      <c r="L22" s="235"/>
      <c r="M22" s="235"/>
      <c r="N22" s="169"/>
      <c r="O22" s="169"/>
      <c r="P22" s="169"/>
      <c r="Q22" s="175"/>
      <c r="R22" s="175"/>
      <c r="S22" s="175"/>
      <c r="T22" s="180"/>
      <c r="U22" s="122"/>
      <c r="V22" s="122"/>
      <c r="W22" s="122"/>
      <c r="X22" s="122"/>
      <c r="Y22" s="184"/>
      <c r="Z22" s="184"/>
      <c r="AA22" s="184"/>
      <c r="AB22" s="184"/>
      <c r="AC22" s="184"/>
      <c r="AD22" s="184"/>
      <c r="AE22" s="184"/>
      <c r="AF22" s="125" t="str">
        <f t="shared" si="1"/>
        <v/>
      </c>
      <c r="AG22" s="125" t="str">
        <f t="shared" si="2"/>
        <v/>
      </c>
      <c r="AH22" s="125" t="str">
        <f t="shared" si="3"/>
        <v/>
      </c>
      <c r="AI22" s="125" t="str">
        <f t="shared" si="4"/>
        <v/>
      </c>
    </row>
    <row r="23" spans="1:35">
      <c r="A23" s="4">
        <v>19</v>
      </c>
      <c r="B23" s="32" t="s">
        <v>55</v>
      </c>
      <c r="C23" s="188"/>
      <c r="D23" s="37" t="s">
        <v>56</v>
      </c>
      <c r="E23" s="189"/>
      <c r="F23" s="24" t="str">
        <f t="shared" si="0"/>
        <v/>
      </c>
      <c r="G23" s="163"/>
      <c r="H23" s="163"/>
      <c r="I23" s="163"/>
      <c r="J23" s="163"/>
      <c r="K23" s="169"/>
      <c r="L23" s="235"/>
      <c r="M23" s="235"/>
      <c r="N23" s="169"/>
      <c r="O23" s="169"/>
      <c r="P23" s="169"/>
      <c r="Q23" s="175"/>
      <c r="R23" s="175"/>
      <c r="S23" s="175"/>
      <c r="T23" s="180"/>
      <c r="U23" s="122"/>
      <c r="V23" s="122"/>
      <c r="W23" s="122"/>
      <c r="X23" s="122"/>
      <c r="Y23" s="184"/>
      <c r="Z23" s="184"/>
      <c r="AA23" s="184"/>
      <c r="AB23" s="184"/>
      <c r="AC23" s="184"/>
      <c r="AD23" s="184"/>
      <c r="AE23" s="184"/>
      <c r="AF23" s="125" t="str">
        <f t="shared" si="1"/>
        <v/>
      </c>
      <c r="AG23" s="125" t="str">
        <f t="shared" si="2"/>
        <v/>
      </c>
      <c r="AH23" s="125" t="str">
        <f t="shared" si="3"/>
        <v/>
      </c>
      <c r="AI23" s="125" t="str">
        <f t="shared" si="4"/>
        <v/>
      </c>
    </row>
    <row r="24" spans="1:35">
      <c r="A24" s="4">
        <v>20</v>
      </c>
      <c r="B24" s="32" t="s">
        <v>55</v>
      </c>
      <c r="C24" s="188"/>
      <c r="D24" s="37" t="s">
        <v>56</v>
      </c>
      <c r="E24" s="189"/>
      <c r="F24" s="24" t="str">
        <f t="shared" si="0"/>
        <v/>
      </c>
      <c r="G24" s="163"/>
      <c r="H24" s="163"/>
      <c r="I24" s="163"/>
      <c r="J24" s="163"/>
      <c r="K24" s="169"/>
      <c r="L24" s="235"/>
      <c r="M24" s="235"/>
      <c r="N24" s="169"/>
      <c r="O24" s="169"/>
      <c r="P24" s="169"/>
      <c r="Q24" s="175"/>
      <c r="R24" s="175"/>
      <c r="S24" s="175"/>
      <c r="T24" s="180"/>
      <c r="U24" s="122"/>
      <c r="V24" s="122"/>
      <c r="W24" s="122"/>
      <c r="X24" s="122"/>
      <c r="Y24" s="184"/>
      <c r="Z24" s="184"/>
      <c r="AA24" s="184"/>
      <c r="AB24" s="184"/>
      <c r="AC24" s="184"/>
      <c r="AD24" s="184"/>
      <c r="AE24" s="184"/>
      <c r="AF24" s="125" t="str">
        <f t="shared" si="1"/>
        <v/>
      </c>
      <c r="AG24" s="125" t="str">
        <f t="shared" si="2"/>
        <v/>
      </c>
      <c r="AH24" s="125" t="str">
        <f t="shared" si="3"/>
        <v/>
      </c>
      <c r="AI24" s="125" t="str">
        <f t="shared" si="4"/>
        <v/>
      </c>
    </row>
    <row r="25" spans="1:35">
      <c r="A25" s="4">
        <v>21</v>
      </c>
      <c r="B25" s="32" t="s">
        <v>55</v>
      </c>
      <c r="C25" s="188"/>
      <c r="D25" s="37" t="s">
        <v>56</v>
      </c>
      <c r="E25" s="189"/>
      <c r="F25" s="24" t="str">
        <f t="shared" si="0"/>
        <v/>
      </c>
      <c r="G25" s="163"/>
      <c r="H25" s="163"/>
      <c r="I25" s="163"/>
      <c r="J25" s="163"/>
      <c r="K25" s="169"/>
      <c r="L25" s="235"/>
      <c r="M25" s="235"/>
      <c r="N25" s="169"/>
      <c r="O25" s="169"/>
      <c r="P25" s="169"/>
      <c r="Q25" s="175"/>
      <c r="R25" s="175"/>
      <c r="S25" s="175"/>
      <c r="T25" s="180"/>
      <c r="U25" s="122"/>
      <c r="V25" s="122"/>
      <c r="W25" s="122"/>
      <c r="X25" s="122"/>
      <c r="Y25" s="184"/>
      <c r="Z25" s="184"/>
      <c r="AA25" s="184"/>
      <c r="AB25" s="184"/>
      <c r="AC25" s="184"/>
      <c r="AD25" s="184"/>
      <c r="AE25" s="184"/>
      <c r="AF25" s="125" t="str">
        <f t="shared" si="1"/>
        <v/>
      </c>
      <c r="AG25" s="125" t="str">
        <f t="shared" si="2"/>
        <v/>
      </c>
      <c r="AH25" s="125" t="str">
        <f t="shared" si="3"/>
        <v/>
      </c>
      <c r="AI25" s="125" t="str">
        <f t="shared" si="4"/>
        <v/>
      </c>
    </row>
    <row r="26" spans="1:35" s="27" customFormat="1">
      <c r="A26" s="4">
        <v>22</v>
      </c>
      <c r="B26" s="32" t="s">
        <v>55</v>
      </c>
      <c r="C26" s="188"/>
      <c r="D26" s="37" t="s">
        <v>56</v>
      </c>
      <c r="E26" s="189"/>
      <c r="F26" s="24" t="str">
        <f t="shared" si="0"/>
        <v/>
      </c>
      <c r="G26" s="163"/>
      <c r="H26" s="163"/>
      <c r="I26" s="163"/>
      <c r="J26" s="163"/>
      <c r="K26" s="169"/>
      <c r="L26" s="235"/>
      <c r="M26" s="235"/>
      <c r="N26" s="169"/>
      <c r="O26" s="169"/>
      <c r="P26" s="169"/>
      <c r="Q26" s="175"/>
      <c r="R26" s="175"/>
      <c r="S26" s="175"/>
      <c r="T26" s="180"/>
      <c r="U26" s="122"/>
      <c r="V26" s="122"/>
      <c r="W26" s="122"/>
      <c r="X26" s="122"/>
      <c r="Y26" s="184"/>
      <c r="Z26" s="184"/>
      <c r="AA26" s="184"/>
      <c r="AB26" s="184"/>
      <c r="AC26" s="184"/>
      <c r="AD26" s="184"/>
      <c r="AE26" s="184"/>
      <c r="AF26" s="125" t="str">
        <f t="shared" si="1"/>
        <v/>
      </c>
      <c r="AG26" s="125" t="str">
        <f t="shared" si="2"/>
        <v/>
      </c>
      <c r="AH26" s="125" t="str">
        <f t="shared" si="3"/>
        <v/>
      </c>
      <c r="AI26" s="125" t="str">
        <f t="shared" si="4"/>
        <v/>
      </c>
    </row>
    <row r="27" spans="1:35">
      <c r="A27" s="4">
        <v>23</v>
      </c>
      <c r="B27" s="32" t="s">
        <v>55</v>
      </c>
      <c r="C27" s="188"/>
      <c r="D27" s="37" t="s">
        <v>56</v>
      </c>
      <c r="E27" s="189"/>
      <c r="F27" s="24" t="str">
        <f t="shared" si="0"/>
        <v/>
      </c>
      <c r="G27" s="163"/>
      <c r="H27" s="163"/>
      <c r="I27" s="163"/>
      <c r="J27" s="163"/>
      <c r="K27" s="169"/>
      <c r="L27" s="235"/>
      <c r="M27" s="235"/>
      <c r="N27" s="169"/>
      <c r="O27" s="169"/>
      <c r="P27" s="169"/>
      <c r="Q27" s="175"/>
      <c r="R27" s="175"/>
      <c r="S27" s="175"/>
      <c r="T27" s="180"/>
      <c r="U27" s="122"/>
      <c r="V27" s="122"/>
      <c r="W27" s="122"/>
      <c r="X27" s="122"/>
      <c r="Y27" s="184"/>
      <c r="Z27" s="184"/>
      <c r="AA27" s="184"/>
      <c r="AB27" s="184"/>
      <c r="AC27" s="184"/>
      <c r="AD27" s="184"/>
      <c r="AE27" s="184"/>
      <c r="AF27" s="125" t="str">
        <f t="shared" si="1"/>
        <v/>
      </c>
      <c r="AG27" s="125" t="str">
        <f t="shared" si="2"/>
        <v/>
      </c>
      <c r="AH27" s="125" t="str">
        <f t="shared" si="3"/>
        <v/>
      </c>
      <c r="AI27" s="125" t="str">
        <f t="shared" si="4"/>
        <v/>
      </c>
    </row>
    <row r="28" spans="1:35">
      <c r="A28" s="4">
        <v>24</v>
      </c>
      <c r="B28" s="32" t="s">
        <v>55</v>
      </c>
      <c r="C28" s="188"/>
      <c r="D28" s="37" t="s">
        <v>56</v>
      </c>
      <c r="E28" s="189"/>
      <c r="F28" s="24" t="str">
        <f t="shared" si="0"/>
        <v/>
      </c>
      <c r="G28" s="163"/>
      <c r="H28" s="163"/>
      <c r="I28" s="163"/>
      <c r="J28" s="163"/>
      <c r="K28" s="169"/>
      <c r="L28" s="235"/>
      <c r="M28" s="235"/>
      <c r="N28" s="169"/>
      <c r="O28" s="169"/>
      <c r="P28" s="169"/>
      <c r="Q28" s="175"/>
      <c r="R28" s="175"/>
      <c r="S28" s="175"/>
      <c r="T28" s="180"/>
      <c r="U28" s="122"/>
      <c r="V28" s="122"/>
      <c r="W28" s="122"/>
      <c r="X28" s="122"/>
      <c r="Y28" s="184"/>
      <c r="Z28" s="184"/>
      <c r="AA28" s="184"/>
      <c r="AB28" s="184"/>
      <c r="AC28" s="184"/>
      <c r="AD28" s="184"/>
      <c r="AE28" s="184"/>
      <c r="AF28" s="125" t="str">
        <f t="shared" si="1"/>
        <v/>
      </c>
      <c r="AG28" s="125" t="str">
        <f t="shared" si="2"/>
        <v/>
      </c>
      <c r="AH28" s="125" t="str">
        <f t="shared" si="3"/>
        <v/>
      </c>
      <c r="AI28" s="125" t="str">
        <f t="shared" si="4"/>
        <v/>
      </c>
    </row>
    <row r="29" spans="1:35">
      <c r="A29" s="4">
        <v>25</v>
      </c>
      <c r="B29" s="32" t="s">
        <v>55</v>
      </c>
      <c r="C29" s="188"/>
      <c r="D29" s="37" t="s">
        <v>56</v>
      </c>
      <c r="E29" s="189"/>
      <c r="F29" s="24" t="str">
        <f t="shared" si="0"/>
        <v/>
      </c>
      <c r="G29" s="163"/>
      <c r="H29" s="163"/>
      <c r="I29" s="163"/>
      <c r="J29" s="163"/>
      <c r="K29" s="169"/>
      <c r="L29" s="235"/>
      <c r="M29" s="235"/>
      <c r="N29" s="169"/>
      <c r="O29" s="169"/>
      <c r="P29" s="169"/>
      <c r="Q29" s="175"/>
      <c r="R29" s="175"/>
      <c r="S29" s="175"/>
      <c r="T29" s="180"/>
      <c r="U29" s="122"/>
      <c r="V29" s="122"/>
      <c r="W29" s="122"/>
      <c r="X29" s="122"/>
      <c r="Y29" s="184"/>
      <c r="Z29" s="184"/>
      <c r="AA29" s="184"/>
      <c r="AB29" s="184"/>
      <c r="AC29" s="184"/>
      <c r="AD29" s="184"/>
      <c r="AE29" s="184"/>
      <c r="AF29" s="125" t="str">
        <f t="shared" si="1"/>
        <v/>
      </c>
      <c r="AG29" s="125" t="str">
        <f t="shared" si="2"/>
        <v/>
      </c>
      <c r="AH29" s="125" t="str">
        <f t="shared" si="3"/>
        <v/>
      </c>
      <c r="AI29" s="125" t="str">
        <f t="shared" si="4"/>
        <v/>
      </c>
    </row>
    <row r="30" spans="1:35">
      <c r="A30" s="4">
        <v>26</v>
      </c>
      <c r="B30" s="32" t="s">
        <v>55</v>
      </c>
      <c r="C30" s="188"/>
      <c r="D30" s="37" t="s">
        <v>56</v>
      </c>
      <c r="E30" s="189"/>
      <c r="F30" s="24" t="str">
        <f t="shared" si="0"/>
        <v/>
      </c>
      <c r="G30" s="163"/>
      <c r="H30" s="163"/>
      <c r="I30" s="163"/>
      <c r="J30" s="163"/>
      <c r="K30" s="169"/>
      <c r="L30" s="235"/>
      <c r="M30" s="235"/>
      <c r="N30" s="169"/>
      <c r="O30" s="169"/>
      <c r="P30" s="169"/>
      <c r="Q30" s="175"/>
      <c r="R30" s="175"/>
      <c r="S30" s="175"/>
      <c r="T30" s="180"/>
      <c r="U30" s="122"/>
      <c r="V30" s="122"/>
      <c r="W30" s="122"/>
      <c r="X30" s="122"/>
      <c r="Y30" s="184"/>
      <c r="Z30" s="184"/>
      <c r="AA30" s="184"/>
      <c r="AB30" s="184"/>
      <c r="AC30" s="184"/>
      <c r="AD30" s="184"/>
      <c r="AE30" s="184"/>
      <c r="AF30" s="125" t="str">
        <f t="shared" si="1"/>
        <v/>
      </c>
      <c r="AG30" s="125" t="str">
        <f t="shared" si="2"/>
        <v/>
      </c>
      <c r="AH30" s="125" t="str">
        <f t="shared" si="3"/>
        <v/>
      </c>
      <c r="AI30" s="125" t="str">
        <f t="shared" si="4"/>
        <v/>
      </c>
    </row>
    <row r="31" spans="1:35">
      <c r="A31" s="4">
        <v>27</v>
      </c>
      <c r="B31" s="32" t="s">
        <v>55</v>
      </c>
      <c r="C31" s="188"/>
      <c r="D31" s="37" t="s">
        <v>56</v>
      </c>
      <c r="E31" s="189"/>
      <c r="F31" s="24" t="str">
        <f t="shared" si="0"/>
        <v/>
      </c>
      <c r="G31" s="163"/>
      <c r="H31" s="163"/>
      <c r="I31" s="163"/>
      <c r="J31" s="163"/>
      <c r="K31" s="169"/>
      <c r="L31" s="235"/>
      <c r="M31" s="235"/>
      <c r="N31" s="169"/>
      <c r="O31" s="169"/>
      <c r="P31" s="169"/>
      <c r="Q31" s="175"/>
      <c r="R31" s="175"/>
      <c r="S31" s="175"/>
      <c r="T31" s="180"/>
      <c r="U31" s="122"/>
      <c r="V31" s="122"/>
      <c r="W31" s="122"/>
      <c r="X31" s="122"/>
      <c r="Y31" s="184"/>
      <c r="Z31" s="184"/>
      <c r="AA31" s="184"/>
      <c r="AB31" s="184"/>
      <c r="AC31" s="184"/>
      <c r="AD31" s="184"/>
      <c r="AE31" s="184"/>
      <c r="AF31" s="125" t="str">
        <f t="shared" si="1"/>
        <v/>
      </c>
      <c r="AG31" s="125" t="str">
        <f t="shared" si="2"/>
        <v/>
      </c>
      <c r="AH31" s="125" t="str">
        <f t="shared" si="3"/>
        <v/>
      </c>
      <c r="AI31" s="125" t="str">
        <f t="shared" si="4"/>
        <v/>
      </c>
    </row>
    <row r="32" spans="1:35" s="27" customFormat="1">
      <c r="A32" s="4">
        <v>28</v>
      </c>
      <c r="B32" s="32" t="s">
        <v>55</v>
      </c>
      <c r="C32" s="188"/>
      <c r="D32" s="37" t="s">
        <v>56</v>
      </c>
      <c r="E32" s="189"/>
      <c r="F32" s="24" t="str">
        <f t="shared" si="0"/>
        <v/>
      </c>
      <c r="G32" s="163"/>
      <c r="H32" s="163"/>
      <c r="I32" s="163"/>
      <c r="J32" s="163"/>
      <c r="K32" s="169"/>
      <c r="L32" s="235"/>
      <c r="M32" s="235"/>
      <c r="N32" s="169"/>
      <c r="O32" s="169"/>
      <c r="P32" s="169"/>
      <c r="Q32" s="175"/>
      <c r="R32" s="175"/>
      <c r="S32" s="175"/>
      <c r="T32" s="180"/>
      <c r="U32" s="122"/>
      <c r="V32" s="122"/>
      <c r="W32" s="122"/>
      <c r="X32" s="122"/>
      <c r="Y32" s="184"/>
      <c r="Z32" s="184"/>
      <c r="AA32" s="184"/>
      <c r="AB32" s="184"/>
      <c r="AC32" s="184"/>
      <c r="AD32" s="184"/>
      <c r="AE32" s="184"/>
      <c r="AF32" s="125" t="str">
        <f t="shared" si="1"/>
        <v/>
      </c>
      <c r="AG32" s="125" t="str">
        <f t="shared" si="2"/>
        <v/>
      </c>
      <c r="AH32" s="125" t="str">
        <f t="shared" si="3"/>
        <v/>
      </c>
      <c r="AI32" s="125" t="str">
        <f t="shared" si="4"/>
        <v/>
      </c>
    </row>
    <row r="33" spans="1:35">
      <c r="A33" s="4">
        <v>29</v>
      </c>
      <c r="B33" s="32" t="s">
        <v>55</v>
      </c>
      <c r="C33" s="188"/>
      <c r="D33" s="37" t="s">
        <v>56</v>
      </c>
      <c r="E33" s="189"/>
      <c r="F33" s="24" t="str">
        <f t="shared" si="0"/>
        <v/>
      </c>
      <c r="G33" s="163"/>
      <c r="H33" s="163"/>
      <c r="I33" s="163"/>
      <c r="J33" s="163"/>
      <c r="K33" s="169"/>
      <c r="L33" s="235"/>
      <c r="M33" s="235"/>
      <c r="N33" s="169"/>
      <c r="O33" s="169"/>
      <c r="P33" s="169"/>
      <c r="Q33" s="175"/>
      <c r="R33" s="175"/>
      <c r="S33" s="175"/>
      <c r="T33" s="180"/>
      <c r="U33" s="122"/>
      <c r="V33" s="122"/>
      <c r="W33" s="122"/>
      <c r="X33" s="122"/>
      <c r="Y33" s="184"/>
      <c r="Z33" s="184"/>
      <c r="AA33" s="184"/>
      <c r="AB33" s="184"/>
      <c r="AC33" s="184"/>
      <c r="AD33" s="184"/>
      <c r="AE33" s="184"/>
      <c r="AF33" s="125" t="str">
        <f t="shared" si="1"/>
        <v/>
      </c>
      <c r="AG33" s="125" t="str">
        <f t="shared" si="2"/>
        <v/>
      </c>
      <c r="AH33" s="125" t="str">
        <f t="shared" si="3"/>
        <v/>
      </c>
      <c r="AI33" s="125" t="str">
        <f t="shared" si="4"/>
        <v/>
      </c>
    </row>
    <row r="34" spans="1:35">
      <c r="A34" s="4">
        <v>30</v>
      </c>
      <c r="B34" s="32" t="s">
        <v>55</v>
      </c>
      <c r="C34" s="188"/>
      <c r="D34" s="37" t="s">
        <v>56</v>
      </c>
      <c r="E34" s="189"/>
      <c r="F34" s="24" t="str">
        <f t="shared" si="0"/>
        <v/>
      </c>
      <c r="G34" s="163"/>
      <c r="H34" s="163"/>
      <c r="I34" s="163"/>
      <c r="J34" s="163"/>
      <c r="K34" s="169"/>
      <c r="L34" s="235"/>
      <c r="M34" s="235"/>
      <c r="N34" s="169"/>
      <c r="O34" s="169"/>
      <c r="P34" s="169"/>
      <c r="Q34" s="175"/>
      <c r="R34" s="175"/>
      <c r="S34" s="175"/>
      <c r="T34" s="180"/>
      <c r="U34" s="122"/>
      <c r="V34" s="122"/>
      <c r="W34" s="122"/>
      <c r="X34" s="122"/>
      <c r="Y34" s="184"/>
      <c r="Z34" s="184"/>
      <c r="AA34" s="184"/>
      <c r="AB34" s="184"/>
      <c r="AC34" s="184"/>
      <c r="AD34" s="184"/>
      <c r="AE34" s="184"/>
      <c r="AF34" s="125" t="str">
        <f t="shared" si="1"/>
        <v/>
      </c>
      <c r="AG34" s="125" t="str">
        <f t="shared" si="2"/>
        <v/>
      </c>
      <c r="AH34" s="125" t="str">
        <f t="shared" si="3"/>
        <v/>
      </c>
      <c r="AI34" s="125" t="str">
        <f t="shared" si="4"/>
        <v/>
      </c>
    </row>
    <row r="35" spans="1:35">
      <c r="A35" s="4">
        <v>31</v>
      </c>
      <c r="B35" s="32" t="s">
        <v>55</v>
      </c>
      <c r="C35" s="188"/>
      <c r="D35" s="37" t="s">
        <v>56</v>
      </c>
      <c r="E35" s="189"/>
      <c r="F35" s="24" t="str">
        <f t="shared" si="0"/>
        <v/>
      </c>
      <c r="G35" s="163"/>
      <c r="H35" s="163"/>
      <c r="I35" s="163"/>
      <c r="J35" s="163"/>
      <c r="K35" s="169"/>
      <c r="L35" s="235"/>
      <c r="M35" s="235"/>
      <c r="N35" s="169"/>
      <c r="O35" s="169"/>
      <c r="P35" s="169"/>
      <c r="Q35" s="175"/>
      <c r="R35" s="175"/>
      <c r="S35" s="175"/>
      <c r="T35" s="180"/>
      <c r="U35" s="122"/>
      <c r="V35" s="122"/>
      <c r="W35" s="122"/>
      <c r="X35" s="122"/>
      <c r="Y35" s="184"/>
      <c r="Z35" s="184"/>
      <c r="AA35" s="184"/>
      <c r="AB35" s="184"/>
      <c r="AC35" s="184"/>
      <c r="AD35" s="184"/>
      <c r="AE35" s="184"/>
      <c r="AF35" s="125" t="str">
        <f t="shared" si="1"/>
        <v/>
      </c>
      <c r="AG35" s="125" t="str">
        <f t="shared" si="2"/>
        <v/>
      </c>
      <c r="AH35" s="125" t="str">
        <f t="shared" si="3"/>
        <v/>
      </c>
      <c r="AI35" s="125" t="str">
        <f t="shared" si="4"/>
        <v/>
      </c>
    </row>
    <row r="36" spans="1:35">
      <c r="A36" s="4">
        <v>32</v>
      </c>
      <c r="B36" s="32" t="s">
        <v>55</v>
      </c>
      <c r="C36" s="188"/>
      <c r="D36" s="37" t="s">
        <v>56</v>
      </c>
      <c r="E36" s="189"/>
      <c r="F36" s="24" t="str">
        <f t="shared" si="0"/>
        <v/>
      </c>
      <c r="G36" s="163"/>
      <c r="H36" s="163"/>
      <c r="I36" s="163"/>
      <c r="J36" s="163"/>
      <c r="K36" s="169"/>
      <c r="L36" s="235"/>
      <c r="M36" s="235"/>
      <c r="N36" s="169"/>
      <c r="O36" s="169"/>
      <c r="P36" s="169"/>
      <c r="Q36" s="175"/>
      <c r="R36" s="175"/>
      <c r="S36" s="175"/>
      <c r="T36" s="180"/>
      <c r="U36" s="122"/>
      <c r="V36" s="122"/>
      <c r="W36" s="122"/>
      <c r="X36" s="122"/>
      <c r="Y36" s="184"/>
      <c r="Z36" s="184"/>
      <c r="AA36" s="184"/>
      <c r="AB36" s="184"/>
      <c r="AC36" s="184"/>
      <c r="AD36" s="184"/>
      <c r="AE36" s="184"/>
      <c r="AF36" s="125" t="str">
        <f t="shared" si="1"/>
        <v/>
      </c>
      <c r="AG36" s="125" t="str">
        <f t="shared" si="2"/>
        <v/>
      </c>
      <c r="AH36" s="125" t="str">
        <f t="shared" si="3"/>
        <v/>
      </c>
      <c r="AI36" s="125" t="str">
        <f t="shared" si="4"/>
        <v/>
      </c>
    </row>
    <row r="37" spans="1:35">
      <c r="A37" s="4">
        <v>33</v>
      </c>
      <c r="B37" s="32" t="s">
        <v>55</v>
      </c>
      <c r="C37" s="188"/>
      <c r="D37" s="37" t="s">
        <v>56</v>
      </c>
      <c r="E37" s="189"/>
      <c r="F37" s="24" t="str">
        <f t="shared" si="0"/>
        <v/>
      </c>
      <c r="G37" s="163"/>
      <c r="H37" s="163"/>
      <c r="I37" s="163"/>
      <c r="J37" s="163"/>
      <c r="K37" s="169"/>
      <c r="L37" s="235"/>
      <c r="M37" s="235"/>
      <c r="N37" s="169"/>
      <c r="O37" s="169"/>
      <c r="P37" s="169"/>
      <c r="Q37" s="175"/>
      <c r="R37" s="175"/>
      <c r="S37" s="175"/>
      <c r="T37" s="180"/>
      <c r="U37" s="122"/>
      <c r="V37" s="122"/>
      <c r="W37" s="122"/>
      <c r="X37" s="122"/>
      <c r="Y37" s="184"/>
      <c r="Z37" s="184"/>
      <c r="AA37" s="184"/>
      <c r="AB37" s="184"/>
      <c r="AC37" s="184"/>
      <c r="AD37" s="184"/>
      <c r="AE37" s="184"/>
      <c r="AF37" s="125" t="str">
        <f t="shared" si="1"/>
        <v/>
      </c>
      <c r="AG37" s="125" t="str">
        <f t="shared" si="2"/>
        <v/>
      </c>
      <c r="AH37" s="125" t="str">
        <f t="shared" si="3"/>
        <v/>
      </c>
      <c r="AI37" s="125" t="str">
        <f t="shared" si="4"/>
        <v/>
      </c>
    </row>
    <row r="38" spans="1:35">
      <c r="A38" s="4">
        <v>34</v>
      </c>
      <c r="B38" s="32" t="s">
        <v>55</v>
      </c>
      <c r="C38" s="188"/>
      <c r="D38" s="37" t="s">
        <v>56</v>
      </c>
      <c r="E38" s="189"/>
      <c r="F38" s="24" t="str">
        <f t="shared" ref="F38:F69" si="5">IF(ISBLANK(C38),"",(C38-C37)*$E$4+(E38-E37))</f>
        <v/>
      </c>
      <c r="G38" s="163"/>
      <c r="H38" s="163"/>
      <c r="I38" s="163"/>
      <c r="J38" s="163"/>
      <c r="K38" s="169"/>
      <c r="L38" s="235"/>
      <c r="M38" s="235"/>
      <c r="N38" s="169"/>
      <c r="O38" s="169"/>
      <c r="P38" s="169"/>
      <c r="Q38" s="175"/>
      <c r="R38" s="175"/>
      <c r="S38" s="175"/>
      <c r="T38" s="180"/>
      <c r="U38" s="122"/>
      <c r="V38" s="122"/>
      <c r="W38" s="122"/>
      <c r="X38" s="122"/>
      <c r="Y38" s="184"/>
      <c r="Z38" s="184"/>
      <c r="AA38" s="184"/>
      <c r="AB38" s="184"/>
      <c r="AC38" s="184"/>
      <c r="AD38" s="184"/>
      <c r="AE38" s="184"/>
      <c r="AF38" s="125" t="str">
        <f t="shared" si="1"/>
        <v/>
      </c>
      <c r="AG38" s="125" t="str">
        <f t="shared" si="2"/>
        <v/>
      </c>
      <c r="AH38" s="125" t="str">
        <f t="shared" si="3"/>
        <v/>
      </c>
      <c r="AI38" s="125" t="str">
        <f t="shared" si="4"/>
        <v/>
      </c>
    </row>
    <row r="39" spans="1:35">
      <c r="A39" s="4">
        <v>35</v>
      </c>
      <c r="B39" s="32" t="s">
        <v>55</v>
      </c>
      <c r="C39" s="188"/>
      <c r="D39" s="37" t="s">
        <v>56</v>
      </c>
      <c r="E39" s="189"/>
      <c r="F39" s="24" t="str">
        <f t="shared" si="5"/>
        <v/>
      </c>
      <c r="G39" s="163"/>
      <c r="H39" s="163"/>
      <c r="I39" s="163"/>
      <c r="J39" s="163"/>
      <c r="K39" s="169"/>
      <c r="L39" s="235"/>
      <c r="M39" s="235"/>
      <c r="N39" s="169"/>
      <c r="O39" s="169"/>
      <c r="P39" s="169"/>
      <c r="Q39" s="175"/>
      <c r="R39" s="175"/>
      <c r="S39" s="175"/>
      <c r="T39" s="180"/>
      <c r="U39" s="122"/>
      <c r="V39" s="122"/>
      <c r="W39" s="122"/>
      <c r="X39" s="122"/>
      <c r="Y39" s="184"/>
      <c r="Z39" s="184"/>
      <c r="AA39" s="184"/>
      <c r="AB39" s="184"/>
      <c r="AC39" s="184"/>
      <c r="AD39" s="184"/>
      <c r="AE39" s="184"/>
      <c r="AF39" s="125" t="str">
        <f t="shared" si="1"/>
        <v/>
      </c>
      <c r="AG39" s="125" t="str">
        <f t="shared" si="2"/>
        <v/>
      </c>
      <c r="AH39" s="125" t="str">
        <f t="shared" si="3"/>
        <v/>
      </c>
      <c r="AI39" s="125" t="str">
        <f t="shared" si="4"/>
        <v/>
      </c>
    </row>
    <row r="40" spans="1:35">
      <c r="A40" s="4">
        <v>36</v>
      </c>
      <c r="B40" s="32" t="s">
        <v>55</v>
      </c>
      <c r="C40" s="188"/>
      <c r="D40" s="37" t="s">
        <v>56</v>
      </c>
      <c r="E40" s="189"/>
      <c r="F40" s="24" t="str">
        <f t="shared" si="5"/>
        <v/>
      </c>
      <c r="G40" s="163"/>
      <c r="H40" s="163"/>
      <c r="I40" s="163"/>
      <c r="J40" s="163"/>
      <c r="K40" s="169"/>
      <c r="L40" s="235"/>
      <c r="M40" s="235"/>
      <c r="N40" s="169"/>
      <c r="O40" s="169"/>
      <c r="P40" s="169"/>
      <c r="Q40" s="175"/>
      <c r="R40" s="175"/>
      <c r="S40" s="175"/>
      <c r="T40" s="180"/>
      <c r="U40" s="122"/>
      <c r="V40" s="122"/>
      <c r="W40" s="122"/>
      <c r="X40" s="122"/>
      <c r="Y40" s="184"/>
      <c r="Z40" s="184"/>
      <c r="AA40" s="184"/>
      <c r="AB40" s="184"/>
      <c r="AC40" s="184"/>
      <c r="AD40" s="184"/>
      <c r="AE40" s="184"/>
      <c r="AF40" s="125" t="str">
        <f t="shared" si="1"/>
        <v/>
      </c>
      <c r="AG40" s="125" t="str">
        <f t="shared" si="2"/>
        <v/>
      </c>
      <c r="AH40" s="125" t="str">
        <f t="shared" si="3"/>
        <v/>
      </c>
      <c r="AI40" s="125" t="str">
        <f t="shared" si="4"/>
        <v/>
      </c>
    </row>
    <row r="41" spans="1:35" s="27" customFormat="1">
      <c r="A41" s="4">
        <v>37</v>
      </c>
      <c r="B41" s="32" t="s">
        <v>55</v>
      </c>
      <c r="C41" s="188"/>
      <c r="D41" s="37" t="s">
        <v>56</v>
      </c>
      <c r="E41" s="189"/>
      <c r="F41" s="24" t="str">
        <f t="shared" si="5"/>
        <v/>
      </c>
      <c r="G41" s="163"/>
      <c r="H41" s="163"/>
      <c r="I41" s="163"/>
      <c r="J41" s="163"/>
      <c r="K41" s="169"/>
      <c r="L41" s="235"/>
      <c r="M41" s="235"/>
      <c r="N41" s="169"/>
      <c r="O41" s="169"/>
      <c r="P41" s="169"/>
      <c r="Q41" s="175"/>
      <c r="R41" s="175"/>
      <c r="S41" s="175"/>
      <c r="T41" s="180"/>
      <c r="U41" s="122"/>
      <c r="V41" s="122"/>
      <c r="W41" s="122"/>
      <c r="X41" s="122"/>
      <c r="Y41" s="184"/>
      <c r="Z41" s="184"/>
      <c r="AA41" s="184"/>
      <c r="AB41" s="184"/>
      <c r="AC41" s="184"/>
      <c r="AD41" s="184"/>
      <c r="AE41" s="184"/>
      <c r="AF41" s="125" t="str">
        <f t="shared" si="1"/>
        <v/>
      </c>
      <c r="AG41" s="125" t="str">
        <f t="shared" si="2"/>
        <v/>
      </c>
      <c r="AH41" s="125" t="str">
        <f t="shared" si="3"/>
        <v/>
      </c>
      <c r="AI41" s="125" t="str">
        <f t="shared" si="4"/>
        <v/>
      </c>
    </row>
    <row r="42" spans="1:35" s="27" customFormat="1">
      <c r="A42" s="4">
        <v>38</v>
      </c>
      <c r="B42" s="32" t="s">
        <v>55</v>
      </c>
      <c r="C42" s="188"/>
      <c r="D42" s="37" t="s">
        <v>56</v>
      </c>
      <c r="E42" s="189"/>
      <c r="F42" s="24" t="str">
        <f t="shared" si="5"/>
        <v/>
      </c>
      <c r="G42" s="163"/>
      <c r="H42" s="163"/>
      <c r="I42" s="163"/>
      <c r="J42" s="163"/>
      <c r="K42" s="169"/>
      <c r="L42" s="235"/>
      <c r="M42" s="235"/>
      <c r="N42" s="169"/>
      <c r="O42" s="169"/>
      <c r="P42" s="169"/>
      <c r="Q42" s="175"/>
      <c r="R42" s="175"/>
      <c r="S42" s="175"/>
      <c r="T42" s="180"/>
      <c r="U42" s="122"/>
      <c r="V42" s="122"/>
      <c r="W42" s="122"/>
      <c r="X42" s="122"/>
      <c r="Y42" s="184"/>
      <c r="Z42" s="184"/>
      <c r="AA42" s="184"/>
      <c r="AB42" s="184"/>
      <c r="AC42" s="184"/>
      <c r="AD42" s="184"/>
      <c r="AE42" s="184"/>
      <c r="AF42" s="125" t="str">
        <f t="shared" si="1"/>
        <v/>
      </c>
      <c r="AG42" s="125" t="str">
        <f t="shared" si="2"/>
        <v/>
      </c>
      <c r="AH42" s="125" t="str">
        <f t="shared" si="3"/>
        <v/>
      </c>
      <c r="AI42" s="125" t="str">
        <f t="shared" si="4"/>
        <v/>
      </c>
    </row>
    <row r="43" spans="1:35">
      <c r="A43" s="4">
        <v>39</v>
      </c>
      <c r="B43" s="32" t="s">
        <v>55</v>
      </c>
      <c r="C43" s="188"/>
      <c r="D43" s="37" t="s">
        <v>56</v>
      </c>
      <c r="E43" s="189"/>
      <c r="F43" s="24" t="str">
        <f t="shared" si="5"/>
        <v/>
      </c>
      <c r="G43" s="163"/>
      <c r="H43" s="163"/>
      <c r="I43" s="163"/>
      <c r="J43" s="163"/>
      <c r="K43" s="169"/>
      <c r="L43" s="235"/>
      <c r="M43" s="235"/>
      <c r="N43" s="169"/>
      <c r="O43" s="169"/>
      <c r="P43" s="169"/>
      <c r="Q43" s="175"/>
      <c r="R43" s="175"/>
      <c r="S43" s="175"/>
      <c r="T43" s="180"/>
      <c r="U43" s="122"/>
      <c r="V43" s="122"/>
      <c r="W43" s="122"/>
      <c r="X43" s="122"/>
      <c r="Y43" s="184"/>
      <c r="Z43" s="184"/>
      <c r="AA43" s="184"/>
      <c r="AB43" s="184"/>
      <c r="AC43" s="184"/>
      <c r="AD43" s="184"/>
      <c r="AE43" s="184"/>
      <c r="AF43" s="125" t="str">
        <f t="shared" si="1"/>
        <v/>
      </c>
      <c r="AG43" s="125" t="str">
        <f t="shared" si="2"/>
        <v/>
      </c>
      <c r="AH43" s="125" t="str">
        <f t="shared" si="3"/>
        <v/>
      </c>
      <c r="AI43" s="125" t="str">
        <f t="shared" si="4"/>
        <v/>
      </c>
    </row>
    <row r="44" spans="1:35">
      <c r="A44" s="4">
        <v>40</v>
      </c>
      <c r="B44" s="32" t="s">
        <v>55</v>
      </c>
      <c r="C44" s="188"/>
      <c r="D44" s="37" t="s">
        <v>56</v>
      </c>
      <c r="E44" s="189"/>
      <c r="F44" s="24" t="str">
        <f t="shared" si="5"/>
        <v/>
      </c>
      <c r="G44" s="163"/>
      <c r="H44" s="163"/>
      <c r="I44" s="163"/>
      <c r="J44" s="163"/>
      <c r="K44" s="169"/>
      <c r="L44" s="235"/>
      <c r="M44" s="235"/>
      <c r="N44" s="169"/>
      <c r="O44" s="169"/>
      <c r="P44" s="169"/>
      <c r="Q44" s="175"/>
      <c r="R44" s="175"/>
      <c r="S44" s="175"/>
      <c r="T44" s="180"/>
      <c r="U44" s="122"/>
      <c r="V44" s="122"/>
      <c r="W44" s="122"/>
      <c r="X44" s="122"/>
      <c r="Y44" s="184"/>
      <c r="Z44" s="184"/>
      <c r="AA44" s="184"/>
      <c r="AB44" s="184"/>
      <c r="AC44" s="184"/>
      <c r="AD44" s="184"/>
      <c r="AE44" s="184"/>
      <c r="AF44" s="125" t="str">
        <f t="shared" si="1"/>
        <v/>
      </c>
      <c r="AG44" s="125" t="str">
        <f t="shared" si="2"/>
        <v/>
      </c>
      <c r="AH44" s="125" t="str">
        <f t="shared" si="3"/>
        <v/>
      </c>
      <c r="AI44" s="125" t="str">
        <f t="shared" si="4"/>
        <v/>
      </c>
    </row>
    <row r="45" spans="1:35" s="27" customFormat="1">
      <c r="A45" s="4">
        <v>41</v>
      </c>
      <c r="B45" s="32" t="s">
        <v>55</v>
      </c>
      <c r="C45" s="188"/>
      <c r="D45" s="37" t="s">
        <v>56</v>
      </c>
      <c r="E45" s="189"/>
      <c r="F45" s="24" t="str">
        <f t="shared" si="5"/>
        <v/>
      </c>
      <c r="G45" s="163"/>
      <c r="H45" s="163"/>
      <c r="I45" s="163"/>
      <c r="J45" s="163"/>
      <c r="K45" s="169"/>
      <c r="L45" s="235"/>
      <c r="M45" s="235"/>
      <c r="N45" s="169"/>
      <c r="O45" s="169"/>
      <c r="P45" s="169"/>
      <c r="Q45" s="175"/>
      <c r="R45" s="175"/>
      <c r="S45" s="175"/>
      <c r="T45" s="180"/>
      <c r="U45" s="122"/>
      <c r="V45" s="122"/>
      <c r="W45" s="122"/>
      <c r="X45" s="122"/>
      <c r="Y45" s="184"/>
      <c r="Z45" s="184"/>
      <c r="AA45" s="184"/>
      <c r="AB45" s="184"/>
      <c r="AC45" s="184"/>
      <c r="AD45" s="184"/>
      <c r="AE45" s="184"/>
      <c r="AF45" s="125" t="str">
        <f t="shared" si="1"/>
        <v/>
      </c>
      <c r="AG45" s="125" t="str">
        <f t="shared" si="2"/>
        <v/>
      </c>
      <c r="AH45" s="125" t="str">
        <f t="shared" si="3"/>
        <v/>
      </c>
      <c r="AI45" s="125" t="str">
        <f t="shared" si="4"/>
        <v/>
      </c>
    </row>
    <row r="46" spans="1:35" s="27" customFormat="1">
      <c r="A46" s="4">
        <v>42</v>
      </c>
      <c r="B46" s="32" t="s">
        <v>55</v>
      </c>
      <c r="C46" s="188"/>
      <c r="D46" s="37" t="s">
        <v>56</v>
      </c>
      <c r="E46" s="189"/>
      <c r="F46" s="24" t="str">
        <f t="shared" si="5"/>
        <v/>
      </c>
      <c r="G46" s="163"/>
      <c r="H46" s="163"/>
      <c r="I46" s="163"/>
      <c r="J46" s="163"/>
      <c r="K46" s="169"/>
      <c r="L46" s="235"/>
      <c r="M46" s="235"/>
      <c r="N46" s="169"/>
      <c r="O46" s="169"/>
      <c r="P46" s="169"/>
      <c r="Q46" s="175"/>
      <c r="R46" s="175"/>
      <c r="S46" s="175"/>
      <c r="T46" s="180"/>
      <c r="U46" s="122"/>
      <c r="V46" s="122"/>
      <c r="W46" s="122"/>
      <c r="X46" s="122"/>
      <c r="Y46" s="184"/>
      <c r="Z46" s="184"/>
      <c r="AA46" s="184"/>
      <c r="AB46" s="184"/>
      <c r="AC46" s="184"/>
      <c r="AD46" s="184"/>
      <c r="AE46" s="184"/>
      <c r="AF46" s="125" t="str">
        <f t="shared" si="1"/>
        <v/>
      </c>
      <c r="AG46" s="125" t="str">
        <f t="shared" si="2"/>
        <v/>
      </c>
      <c r="AH46" s="125" t="str">
        <f t="shared" si="3"/>
        <v/>
      </c>
      <c r="AI46" s="125" t="str">
        <f t="shared" si="4"/>
        <v/>
      </c>
    </row>
    <row r="47" spans="1:35">
      <c r="A47" s="4">
        <v>43</v>
      </c>
      <c r="B47" s="32" t="s">
        <v>55</v>
      </c>
      <c r="C47" s="188"/>
      <c r="D47" s="37" t="s">
        <v>56</v>
      </c>
      <c r="E47" s="189"/>
      <c r="F47" s="24" t="str">
        <f t="shared" si="5"/>
        <v/>
      </c>
      <c r="G47" s="163"/>
      <c r="H47" s="163"/>
      <c r="I47" s="163"/>
      <c r="J47" s="163"/>
      <c r="K47" s="169"/>
      <c r="L47" s="235"/>
      <c r="M47" s="235"/>
      <c r="N47" s="169"/>
      <c r="O47" s="169"/>
      <c r="P47" s="169"/>
      <c r="Q47" s="175"/>
      <c r="R47" s="175"/>
      <c r="S47" s="175"/>
      <c r="T47" s="180"/>
      <c r="U47" s="122"/>
      <c r="V47" s="122"/>
      <c r="W47" s="122"/>
      <c r="X47" s="122"/>
      <c r="Y47" s="184"/>
      <c r="Z47" s="184"/>
      <c r="AA47" s="184"/>
      <c r="AB47" s="184"/>
      <c r="AC47" s="184"/>
      <c r="AD47" s="184"/>
      <c r="AE47" s="184"/>
      <c r="AF47" s="125" t="str">
        <f t="shared" si="1"/>
        <v/>
      </c>
      <c r="AG47" s="125" t="str">
        <f t="shared" si="2"/>
        <v/>
      </c>
      <c r="AH47" s="125" t="str">
        <f t="shared" si="3"/>
        <v/>
      </c>
      <c r="AI47" s="125" t="str">
        <f t="shared" si="4"/>
        <v/>
      </c>
    </row>
    <row r="48" spans="1:35">
      <c r="A48" s="4">
        <v>44</v>
      </c>
      <c r="B48" s="32" t="s">
        <v>55</v>
      </c>
      <c r="C48" s="188"/>
      <c r="D48" s="37" t="s">
        <v>56</v>
      </c>
      <c r="E48" s="189"/>
      <c r="F48" s="24" t="str">
        <f t="shared" si="5"/>
        <v/>
      </c>
      <c r="G48" s="163"/>
      <c r="H48" s="163"/>
      <c r="I48" s="163"/>
      <c r="J48" s="163"/>
      <c r="K48" s="169"/>
      <c r="L48" s="235"/>
      <c r="M48" s="235"/>
      <c r="N48" s="169"/>
      <c r="O48" s="169"/>
      <c r="P48" s="169"/>
      <c r="Q48" s="175"/>
      <c r="R48" s="175"/>
      <c r="S48" s="175"/>
      <c r="T48" s="180"/>
      <c r="U48" s="122"/>
      <c r="V48" s="122"/>
      <c r="W48" s="122"/>
      <c r="X48" s="122"/>
      <c r="Y48" s="184"/>
      <c r="Z48" s="184"/>
      <c r="AA48" s="184"/>
      <c r="AB48" s="184"/>
      <c r="AC48" s="184"/>
      <c r="AD48" s="184"/>
      <c r="AE48" s="184"/>
      <c r="AF48" s="125" t="str">
        <f t="shared" si="1"/>
        <v/>
      </c>
      <c r="AG48" s="125" t="str">
        <f t="shared" si="2"/>
        <v/>
      </c>
      <c r="AH48" s="125" t="str">
        <f t="shared" si="3"/>
        <v/>
      </c>
      <c r="AI48" s="125" t="str">
        <f t="shared" si="4"/>
        <v/>
      </c>
    </row>
    <row r="49" spans="1:35">
      <c r="A49" s="4">
        <v>45</v>
      </c>
      <c r="B49" s="32" t="s">
        <v>55</v>
      </c>
      <c r="C49" s="188"/>
      <c r="D49" s="37" t="s">
        <v>56</v>
      </c>
      <c r="E49" s="189"/>
      <c r="F49" s="24" t="str">
        <f t="shared" si="5"/>
        <v/>
      </c>
      <c r="G49" s="163"/>
      <c r="H49" s="163"/>
      <c r="I49" s="163"/>
      <c r="J49" s="163"/>
      <c r="K49" s="169"/>
      <c r="L49" s="235"/>
      <c r="M49" s="235"/>
      <c r="N49" s="169"/>
      <c r="O49" s="169"/>
      <c r="P49" s="169"/>
      <c r="Q49" s="175"/>
      <c r="R49" s="175"/>
      <c r="S49" s="175"/>
      <c r="T49" s="180"/>
      <c r="U49" s="122"/>
      <c r="V49" s="122"/>
      <c r="W49" s="122"/>
      <c r="X49" s="122"/>
      <c r="Y49" s="184"/>
      <c r="Z49" s="184"/>
      <c r="AA49" s="184"/>
      <c r="AB49" s="184"/>
      <c r="AC49" s="184"/>
      <c r="AD49" s="184"/>
      <c r="AE49" s="184"/>
      <c r="AF49" s="125" t="str">
        <f t="shared" si="1"/>
        <v/>
      </c>
      <c r="AG49" s="125" t="str">
        <f t="shared" si="2"/>
        <v/>
      </c>
      <c r="AH49" s="125" t="str">
        <f t="shared" si="3"/>
        <v/>
      </c>
      <c r="AI49" s="125" t="str">
        <f t="shared" si="4"/>
        <v/>
      </c>
    </row>
    <row r="50" spans="1:35" s="27" customFormat="1">
      <c r="A50" s="4">
        <v>46</v>
      </c>
      <c r="B50" s="32" t="s">
        <v>55</v>
      </c>
      <c r="C50" s="188"/>
      <c r="D50" s="37" t="s">
        <v>56</v>
      </c>
      <c r="E50" s="189"/>
      <c r="F50" s="24" t="str">
        <f t="shared" si="5"/>
        <v/>
      </c>
      <c r="G50" s="163"/>
      <c r="H50" s="163"/>
      <c r="I50" s="163"/>
      <c r="J50" s="163"/>
      <c r="K50" s="169"/>
      <c r="L50" s="235"/>
      <c r="M50" s="235"/>
      <c r="N50" s="169"/>
      <c r="O50" s="169"/>
      <c r="P50" s="169"/>
      <c r="Q50" s="175"/>
      <c r="R50" s="175"/>
      <c r="S50" s="175"/>
      <c r="T50" s="180"/>
      <c r="U50" s="122"/>
      <c r="V50" s="122"/>
      <c r="W50" s="122"/>
      <c r="X50" s="122"/>
      <c r="Y50" s="184"/>
      <c r="Z50" s="184"/>
      <c r="AA50" s="184"/>
      <c r="AB50" s="184"/>
      <c r="AC50" s="184"/>
      <c r="AD50" s="184"/>
      <c r="AE50" s="184"/>
      <c r="AF50" s="125" t="str">
        <f t="shared" si="1"/>
        <v/>
      </c>
      <c r="AG50" s="125" t="str">
        <f t="shared" si="2"/>
        <v/>
      </c>
      <c r="AH50" s="125" t="str">
        <f t="shared" si="3"/>
        <v/>
      </c>
      <c r="AI50" s="125" t="str">
        <f t="shared" si="4"/>
        <v/>
      </c>
    </row>
    <row r="51" spans="1:35">
      <c r="A51" s="4">
        <v>47</v>
      </c>
      <c r="B51" s="32" t="s">
        <v>55</v>
      </c>
      <c r="C51" s="188"/>
      <c r="D51" s="37" t="s">
        <v>56</v>
      </c>
      <c r="E51" s="189"/>
      <c r="F51" s="24" t="str">
        <f t="shared" si="5"/>
        <v/>
      </c>
      <c r="G51" s="163"/>
      <c r="H51" s="163"/>
      <c r="I51" s="163"/>
      <c r="J51" s="163"/>
      <c r="K51" s="169"/>
      <c r="L51" s="235"/>
      <c r="M51" s="235"/>
      <c r="N51" s="169"/>
      <c r="O51" s="169"/>
      <c r="P51" s="169"/>
      <c r="Q51" s="175"/>
      <c r="R51" s="175"/>
      <c r="S51" s="175"/>
      <c r="T51" s="180"/>
      <c r="U51" s="122"/>
      <c r="V51" s="122"/>
      <c r="W51" s="122"/>
      <c r="X51" s="122"/>
      <c r="Y51" s="184"/>
      <c r="Z51" s="184"/>
      <c r="AA51" s="184"/>
      <c r="AB51" s="184"/>
      <c r="AC51" s="184"/>
      <c r="AD51" s="184"/>
      <c r="AE51" s="184"/>
      <c r="AF51" s="125" t="str">
        <f t="shared" si="1"/>
        <v/>
      </c>
      <c r="AG51" s="125" t="str">
        <f t="shared" si="2"/>
        <v/>
      </c>
      <c r="AH51" s="125" t="str">
        <f t="shared" si="3"/>
        <v/>
      </c>
      <c r="AI51" s="125" t="str">
        <f t="shared" si="4"/>
        <v/>
      </c>
    </row>
    <row r="52" spans="1:35">
      <c r="A52" s="4">
        <v>48</v>
      </c>
      <c r="B52" s="32" t="s">
        <v>55</v>
      </c>
      <c r="C52" s="188"/>
      <c r="D52" s="37" t="s">
        <v>56</v>
      </c>
      <c r="E52" s="189"/>
      <c r="F52" s="24" t="str">
        <f t="shared" si="5"/>
        <v/>
      </c>
      <c r="G52" s="163"/>
      <c r="H52" s="163"/>
      <c r="I52" s="163"/>
      <c r="J52" s="163"/>
      <c r="K52" s="169"/>
      <c r="L52" s="235"/>
      <c r="M52" s="235"/>
      <c r="N52" s="169"/>
      <c r="O52" s="169"/>
      <c r="P52" s="169"/>
      <c r="Q52" s="175"/>
      <c r="R52" s="175"/>
      <c r="S52" s="175"/>
      <c r="T52" s="180"/>
      <c r="U52" s="122"/>
      <c r="V52" s="122"/>
      <c r="W52" s="122"/>
      <c r="X52" s="122"/>
      <c r="Y52" s="184"/>
      <c r="Z52" s="184"/>
      <c r="AA52" s="184"/>
      <c r="AB52" s="184"/>
      <c r="AC52" s="184"/>
      <c r="AD52" s="184"/>
      <c r="AE52" s="184"/>
      <c r="AF52" s="125" t="str">
        <f t="shared" si="1"/>
        <v/>
      </c>
      <c r="AG52" s="125" t="str">
        <f t="shared" si="2"/>
        <v/>
      </c>
      <c r="AH52" s="125" t="str">
        <f t="shared" si="3"/>
        <v/>
      </c>
      <c r="AI52" s="125" t="str">
        <f t="shared" si="4"/>
        <v/>
      </c>
    </row>
    <row r="53" spans="1:35">
      <c r="A53" s="4">
        <v>49</v>
      </c>
      <c r="B53" s="32" t="s">
        <v>55</v>
      </c>
      <c r="C53" s="34"/>
      <c r="D53" s="37" t="s">
        <v>56</v>
      </c>
      <c r="E53" s="35"/>
      <c r="F53" s="24" t="str">
        <f t="shared" si="5"/>
        <v/>
      </c>
      <c r="G53" s="163"/>
      <c r="H53" s="163"/>
      <c r="I53" s="163"/>
      <c r="J53" s="163"/>
      <c r="K53" s="169"/>
      <c r="L53" s="235"/>
      <c r="M53" s="235"/>
      <c r="N53" s="169"/>
      <c r="O53" s="169"/>
      <c r="P53" s="169"/>
      <c r="Q53" s="175"/>
      <c r="R53" s="175"/>
      <c r="S53" s="175"/>
      <c r="T53" s="180"/>
      <c r="U53" s="122"/>
      <c r="V53" s="122"/>
      <c r="W53" s="122"/>
      <c r="X53" s="122"/>
      <c r="Y53" s="184"/>
      <c r="Z53" s="184"/>
      <c r="AA53" s="184"/>
      <c r="AB53" s="184"/>
      <c r="AC53" s="184"/>
      <c r="AD53" s="184"/>
      <c r="AE53" s="184"/>
      <c r="AF53" s="125" t="str">
        <f t="shared" si="1"/>
        <v/>
      </c>
      <c r="AG53" s="125" t="str">
        <f t="shared" si="2"/>
        <v/>
      </c>
      <c r="AH53" s="125" t="str">
        <f t="shared" si="3"/>
        <v/>
      </c>
      <c r="AI53" s="125" t="str">
        <f t="shared" si="4"/>
        <v/>
      </c>
    </row>
    <row r="54" spans="1:35">
      <c r="A54" s="4">
        <v>50</v>
      </c>
      <c r="B54" s="32" t="s">
        <v>55</v>
      </c>
      <c r="C54" s="34"/>
      <c r="D54" s="37" t="s">
        <v>56</v>
      </c>
      <c r="E54" s="35"/>
      <c r="F54" s="24" t="str">
        <f t="shared" si="5"/>
        <v/>
      </c>
      <c r="G54" s="163"/>
      <c r="H54" s="163"/>
      <c r="I54" s="163"/>
      <c r="J54" s="163"/>
      <c r="K54" s="169"/>
      <c r="L54" s="235"/>
      <c r="M54" s="235"/>
      <c r="N54" s="169"/>
      <c r="O54" s="169"/>
      <c r="P54" s="169"/>
      <c r="Q54" s="175"/>
      <c r="R54" s="175"/>
      <c r="S54" s="175"/>
      <c r="T54" s="180"/>
      <c r="U54" s="122"/>
      <c r="V54" s="122"/>
      <c r="W54" s="122"/>
      <c r="X54" s="122"/>
      <c r="Y54" s="184"/>
      <c r="Z54" s="184"/>
      <c r="AA54" s="184"/>
      <c r="AB54" s="184"/>
      <c r="AC54" s="184"/>
      <c r="AD54" s="184"/>
      <c r="AE54" s="184"/>
      <c r="AF54" s="125" t="str">
        <f t="shared" si="1"/>
        <v/>
      </c>
      <c r="AG54" s="125" t="str">
        <f t="shared" si="2"/>
        <v/>
      </c>
      <c r="AH54" s="125" t="str">
        <f t="shared" si="3"/>
        <v/>
      </c>
      <c r="AI54" s="125" t="str">
        <f t="shared" si="4"/>
        <v/>
      </c>
    </row>
    <row r="55" spans="1:35">
      <c r="A55" s="4">
        <v>51</v>
      </c>
      <c r="B55" s="32" t="s">
        <v>55</v>
      </c>
      <c r="C55" s="34"/>
      <c r="D55" s="37" t="s">
        <v>56</v>
      </c>
      <c r="E55" s="35"/>
      <c r="F55" s="24" t="str">
        <f t="shared" si="5"/>
        <v/>
      </c>
      <c r="G55" s="163"/>
      <c r="H55" s="163"/>
      <c r="I55" s="163"/>
      <c r="J55" s="163"/>
      <c r="K55" s="169"/>
      <c r="L55" s="235"/>
      <c r="M55" s="235"/>
      <c r="N55" s="169"/>
      <c r="O55" s="169"/>
      <c r="P55" s="169"/>
      <c r="Q55" s="175"/>
      <c r="R55" s="175"/>
      <c r="S55" s="175"/>
      <c r="T55" s="180"/>
      <c r="U55" s="122"/>
      <c r="V55" s="122"/>
      <c r="W55" s="122"/>
      <c r="X55" s="122"/>
      <c r="Y55" s="184"/>
      <c r="Z55" s="184"/>
      <c r="AA55" s="184"/>
      <c r="AB55" s="184"/>
      <c r="AC55" s="184"/>
      <c r="AD55" s="184"/>
      <c r="AE55" s="184"/>
      <c r="AF55" s="125" t="str">
        <f t="shared" si="1"/>
        <v/>
      </c>
      <c r="AG55" s="125" t="str">
        <f t="shared" si="2"/>
        <v/>
      </c>
      <c r="AH55" s="125" t="str">
        <f t="shared" si="3"/>
        <v/>
      </c>
      <c r="AI55" s="125" t="str">
        <f t="shared" si="4"/>
        <v/>
      </c>
    </row>
    <row r="56" spans="1:35" s="27" customFormat="1">
      <c r="A56" s="4">
        <v>52</v>
      </c>
      <c r="B56" s="32" t="s">
        <v>55</v>
      </c>
      <c r="C56" s="34"/>
      <c r="D56" s="37" t="s">
        <v>56</v>
      </c>
      <c r="E56" s="35"/>
      <c r="F56" s="24" t="str">
        <f t="shared" si="5"/>
        <v/>
      </c>
      <c r="G56" s="163"/>
      <c r="H56" s="163"/>
      <c r="I56" s="163"/>
      <c r="J56" s="163"/>
      <c r="K56" s="169"/>
      <c r="L56" s="235"/>
      <c r="M56" s="235"/>
      <c r="N56" s="169"/>
      <c r="O56" s="169"/>
      <c r="P56" s="169"/>
      <c r="Q56" s="175"/>
      <c r="R56" s="175"/>
      <c r="S56" s="175"/>
      <c r="T56" s="180"/>
      <c r="U56" s="122"/>
      <c r="V56" s="122"/>
      <c r="W56" s="122"/>
      <c r="X56" s="122"/>
      <c r="Y56" s="184"/>
      <c r="Z56" s="184"/>
      <c r="AA56" s="184"/>
      <c r="AB56" s="184"/>
      <c r="AC56" s="184"/>
      <c r="AD56" s="184"/>
      <c r="AE56" s="184"/>
      <c r="AF56" s="125" t="str">
        <f t="shared" si="1"/>
        <v/>
      </c>
      <c r="AG56" s="125" t="str">
        <f t="shared" si="2"/>
        <v/>
      </c>
      <c r="AH56" s="125" t="str">
        <f t="shared" si="3"/>
        <v/>
      </c>
      <c r="AI56" s="125" t="str">
        <f t="shared" si="4"/>
        <v/>
      </c>
    </row>
    <row r="57" spans="1:35">
      <c r="A57" s="4">
        <v>53</v>
      </c>
      <c r="B57" s="32" t="s">
        <v>55</v>
      </c>
      <c r="C57" s="34"/>
      <c r="D57" s="37" t="s">
        <v>56</v>
      </c>
      <c r="E57" s="35"/>
      <c r="F57" s="24" t="str">
        <f t="shared" si="5"/>
        <v/>
      </c>
      <c r="G57" s="163"/>
      <c r="H57" s="163"/>
      <c r="I57" s="163"/>
      <c r="J57" s="163"/>
      <c r="K57" s="169"/>
      <c r="L57" s="235"/>
      <c r="M57" s="235"/>
      <c r="N57" s="169"/>
      <c r="O57" s="169"/>
      <c r="P57" s="169"/>
      <c r="Q57" s="175"/>
      <c r="R57" s="175"/>
      <c r="S57" s="175"/>
      <c r="T57" s="180"/>
      <c r="U57" s="122"/>
      <c r="V57" s="122"/>
      <c r="W57" s="122"/>
      <c r="X57" s="122"/>
      <c r="Y57" s="184"/>
      <c r="Z57" s="184"/>
      <c r="AA57" s="184"/>
      <c r="AB57" s="184"/>
      <c r="AC57" s="184"/>
      <c r="AD57" s="184"/>
      <c r="AE57" s="184"/>
      <c r="AF57" s="125" t="str">
        <f t="shared" si="1"/>
        <v/>
      </c>
      <c r="AG57" s="125" t="str">
        <f t="shared" si="2"/>
        <v/>
      </c>
      <c r="AH57" s="125" t="str">
        <f t="shared" si="3"/>
        <v/>
      </c>
      <c r="AI57" s="125" t="str">
        <f t="shared" si="4"/>
        <v/>
      </c>
    </row>
    <row r="58" spans="1:35">
      <c r="A58" s="4">
        <v>54</v>
      </c>
      <c r="B58" s="32" t="s">
        <v>55</v>
      </c>
      <c r="C58" s="34"/>
      <c r="D58" s="37" t="s">
        <v>56</v>
      </c>
      <c r="E58" s="35"/>
      <c r="F58" s="24" t="str">
        <f t="shared" si="5"/>
        <v/>
      </c>
      <c r="G58" s="163"/>
      <c r="H58" s="163"/>
      <c r="I58" s="163"/>
      <c r="J58" s="163"/>
      <c r="K58" s="169"/>
      <c r="L58" s="235"/>
      <c r="M58" s="235"/>
      <c r="N58" s="169"/>
      <c r="O58" s="169"/>
      <c r="P58" s="169"/>
      <c r="Q58" s="175"/>
      <c r="R58" s="175"/>
      <c r="S58" s="175"/>
      <c r="T58" s="180"/>
      <c r="U58" s="122"/>
      <c r="V58" s="122"/>
      <c r="W58" s="122"/>
      <c r="X58" s="122"/>
      <c r="Y58" s="184"/>
      <c r="Z58" s="184"/>
      <c r="AA58" s="184"/>
      <c r="AB58" s="184"/>
      <c r="AC58" s="184"/>
      <c r="AD58" s="184"/>
      <c r="AE58" s="184"/>
      <c r="AF58" s="125" t="str">
        <f t="shared" si="1"/>
        <v/>
      </c>
      <c r="AG58" s="125" t="str">
        <f t="shared" si="2"/>
        <v/>
      </c>
      <c r="AH58" s="125" t="str">
        <f t="shared" si="3"/>
        <v/>
      </c>
      <c r="AI58" s="125" t="str">
        <f t="shared" si="4"/>
        <v/>
      </c>
    </row>
    <row r="59" spans="1:35">
      <c r="A59" s="4">
        <v>55</v>
      </c>
      <c r="B59" s="32" t="s">
        <v>55</v>
      </c>
      <c r="C59" s="34"/>
      <c r="D59" s="37" t="s">
        <v>56</v>
      </c>
      <c r="E59" s="35"/>
      <c r="F59" s="24" t="str">
        <f t="shared" si="5"/>
        <v/>
      </c>
      <c r="G59" s="163"/>
      <c r="H59" s="163"/>
      <c r="I59" s="163"/>
      <c r="J59" s="163"/>
      <c r="K59" s="169"/>
      <c r="L59" s="235"/>
      <c r="M59" s="235"/>
      <c r="N59" s="169"/>
      <c r="O59" s="169"/>
      <c r="P59" s="169"/>
      <c r="Q59" s="175"/>
      <c r="R59" s="175"/>
      <c r="S59" s="175"/>
      <c r="T59" s="180"/>
      <c r="U59" s="122"/>
      <c r="V59" s="122"/>
      <c r="W59" s="122"/>
      <c r="X59" s="122"/>
      <c r="Y59" s="184"/>
      <c r="Z59" s="184"/>
      <c r="AA59" s="184"/>
      <c r="AB59" s="184"/>
      <c r="AC59" s="184"/>
      <c r="AD59" s="184"/>
      <c r="AE59" s="184"/>
      <c r="AF59" s="125" t="str">
        <f t="shared" si="1"/>
        <v/>
      </c>
      <c r="AG59" s="125" t="str">
        <f t="shared" si="2"/>
        <v/>
      </c>
      <c r="AH59" s="125" t="str">
        <f t="shared" si="3"/>
        <v/>
      </c>
      <c r="AI59" s="125" t="str">
        <f t="shared" si="4"/>
        <v/>
      </c>
    </row>
    <row r="60" spans="1:35" s="27" customFormat="1">
      <c r="A60" s="4">
        <v>56</v>
      </c>
      <c r="B60" s="32" t="s">
        <v>55</v>
      </c>
      <c r="C60" s="34"/>
      <c r="D60" s="37" t="s">
        <v>56</v>
      </c>
      <c r="E60" s="35"/>
      <c r="F60" s="24" t="str">
        <f t="shared" si="5"/>
        <v/>
      </c>
      <c r="G60" s="163"/>
      <c r="H60" s="163"/>
      <c r="I60" s="163"/>
      <c r="J60" s="163"/>
      <c r="K60" s="169"/>
      <c r="L60" s="235"/>
      <c r="M60" s="235"/>
      <c r="N60" s="169"/>
      <c r="O60" s="169"/>
      <c r="P60" s="169"/>
      <c r="Q60" s="175"/>
      <c r="R60" s="175"/>
      <c r="S60" s="175"/>
      <c r="T60" s="180"/>
      <c r="U60" s="122"/>
      <c r="V60" s="122"/>
      <c r="W60" s="122"/>
      <c r="X60" s="122"/>
      <c r="Y60" s="184"/>
      <c r="Z60" s="184"/>
      <c r="AA60" s="184"/>
      <c r="AB60" s="184"/>
      <c r="AC60" s="184"/>
      <c r="AD60" s="184"/>
      <c r="AE60" s="184"/>
      <c r="AF60" s="125" t="str">
        <f t="shared" si="1"/>
        <v/>
      </c>
      <c r="AG60" s="125" t="str">
        <f t="shared" si="2"/>
        <v/>
      </c>
      <c r="AH60" s="125" t="str">
        <f t="shared" si="3"/>
        <v/>
      </c>
      <c r="AI60" s="125" t="str">
        <f t="shared" si="4"/>
        <v/>
      </c>
    </row>
    <row r="61" spans="1:35">
      <c r="A61" s="4">
        <v>57</v>
      </c>
      <c r="B61" s="32" t="s">
        <v>55</v>
      </c>
      <c r="C61" s="34"/>
      <c r="D61" s="37" t="s">
        <v>56</v>
      </c>
      <c r="E61" s="35"/>
      <c r="F61" s="24" t="str">
        <f t="shared" si="5"/>
        <v/>
      </c>
      <c r="G61" s="163"/>
      <c r="H61" s="163"/>
      <c r="I61" s="163"/>
      <c r="J61" s="163"/>
      <c r="K61" s="169"/>
      <c r="L61" s="235"/>
      <c r="M61" s="235"/>
      <c r="N61" s="169"/>
      <c r="O61" s="169"/>
      <c r="P61" s="169"/>
      <c r="Q61" s="175"/>
      <c r="R61" s="175"/>
      <c r="S61" s="175"/>
      <c r="T61" s="180"/>
      <c r="U61" s="122"/>
      <c r="V61" s="122"/>
      <c r="W61" s="122"/>
      <c r="X61" s="122"/>
      <c r="Y61" s="184"/>
      <c r="Z61" s="184"/>
      <c r="AA61" s="184"/>
      <c r="AB61" s="184"/>
      <c r="AC61" s="184"/>
      <c r="AD61" s="184"/>
      <c r="AE61" s="184"/>
      <c r="AF61" s="125" t="str">
        <f t="shared" si="1"/>
        <v/>
      </c>
      <c r="AG61" s="125" t="str">
        <f t="shared" si="2"/>
        <v/>
      </c>
      <c r="AH61" s="125" t="str">
        <f t="shared" si="3"/>
        <v/>
      </c>
      <c r="AI61" s="125" t="str">
        <f t="shared" si="4"/>
        <v/>
      </c>
    </row>
    <row r="62" spans="1:35">
      <c r="A62" s="4">
        <v>58</v>
      </c>
      <c r="B62" s="32" t="s">
        <v>55</v>
      </c>
      <c r="C62" s="34"/>
      <c r="D62" s="37" t="s">
        <v>56</v>
      </c>
      <c r="E62" s="35"/>
      <c r="F62" s="24" t="str">
        <f t="shared" si="5"/>
        <v/>
      </c>
      <c r="G62" s="163"/>
      <c r="H62" s="163"/>
      <c r="I62" s="163"/>
      <c r="J62" s="163"/>
      <c r="K62" s="169"/>
      <c r="L62" s="235"/>
      <c r="M62" s="235"/>
      <c r="N62" s="169"/>
      <c r="O62" s="169"/>
      <c r="P62" s="169"/>
      <c r="Q62" s="175"/>
      <c r="R62" s="175"/>
      <c r="S62" s="175"/>
      <c r="T62" s="180"/>
      <c r="U62" s="122"/>
      <c r="V62" s="122"/>
      <c r="W62" s="122"/>
      <c r="X62" s="122"/>
      <c r="Y62" s="184"/>
      <c r="Z62" s="184"/>
      <c r="AA62" s="184"/>
      <c r="AB62" s="184"/>
      <c r="AC62" s="184"/>
      <c r="AD62" s="184"/>
      <c r="AE62" s="184"/>
      <c r="AF62" s="125" t="str">
        <f t="shared" si="1"/>
        <v/>
      </c>
      <c r="AG62" s="125" t="str">
        <f t="shared" si="2"/>
        <v/>
      </c>
      <c r="AH62" s="125" t="str">
        <f t="shared" si="3"/>
        <v/>
      </c>
      <c r="AI62" s="125" t="str">
        <f t="shared" si="4"/>
        <v/>
      </c>
    </row>
    <row r="63" spans="1:35">
      <c r="A63" s="4">
        <v>59</v>
      </c>
      <c r="B63" s="32" t="s">
        <v>55</v>
      </c>
      <c r="C63" s="34"/>
      <c r="D63" s="37" t="s">
        <v>56</v>
      </c>
      <c r="E63" s="35"/>
      <c r="F63" s="24" t="str">
        <f t="shared" si="5"/>
        <v/>
      </c>
      <c r="G63" s="163"/>
      <c r="H63" s="163"/>
      <c r="I63" s="163"/>
      <c r="J63" s="163"/>
      <c r="K63" s="169"/>
      <c r="L63" s="235"/>
      <c r="M63" s="235"/>
      <c r="N63" s="169"/>
      <c r="O63" s="169"/>
      <c r="P63" s="169"/>
      <c r="Q63" s="175"/>
      <c r="R63" s="175"/>
      <c r="S63" s="175"/>
      <c r="T63" s="180"/>
      <c r="U63" s="122"/>
      <c r="V63" s="122"/>
      <c r="W63" s="122"/>
      <c r="X63" s="122"/>
      <c r="Y63" s="184"/>
      <c r="Z63" s="184"/>
      <c r="AA63" s="184"/>
      <c r="AB63" s="184"/>
      <c r="AC63" s="184"/>
      <c r="AD63" s="184"/>
      <c r="AE63" s="184"/>
      <c r="AF63" s="125" t="str">
        <f t="shared" si="1"/>
        <v/>
      </c>
      <c r="AG63" s="125" t="str">
        <f t="shared" si="2"/>
        <v/>
      </c>
      <c r="AH63" s="125" t="str">
        <f t="shared" si="3"/>
        <v/>
      </c>
      <c r="AI63" s="125" t="str">
        <f t="shared" si="4"/>
        <v/>
      </c>
    </row>
    <row r="64" spans="1:35">
      <c r="A64" s="4">
        <v>60</v>
      </c>
      <c r="B64" s="32" t="s">
        <v>55</v>
      </c>
      <c r="C64" s="34"/>
      <c r="D64" s="37" t="s">
        <v>56</v>
      </c>
      <c r="E64" s="35"/>
      <c r="F64" s="24" t="str">
        <f t="shared" si="5"/>
        <v/>
      </c>
      <c r="G64" s="163"/>
      <c r="H64" s="163"/>
      <c r="I64" s="163"/>
      <c r="J64" s="163"/>
      <c r="K64" s="169"/>
      <c r="L64" s="235"/>
      <c r="M64" s="235"/>
      <c r="N64" s="169"/>
      <c r="O64" s="169"/>
      <c r="P64" s="169"/>
      <c r="Q64" s="175"/>
      <c r="R64" s="175"/>
      <c r="S64" s="175"/>
      <c r="T64" s="180"/>
      <c r="U64" s="122"/>
      <c r="V64" s="122"/>
      <c r="W64" s="122"/>
      <c r="X64" s="122"/>
      <c r="Y64" s="184"/>
      <c r="Z64" s="184"/>
      <c r="AA64" s="184"/>
      <c r="AB64" s="184"/>
      <c r="AC64" s="184"/>
      <c r="AD64" s="184"/>
      <c r="AE64" s="184"/>
      <c r="AF64" s="125" t="str">
        <f t="shared" si="1"/>
        <v/>
      </c>
      <c r="AG64" s="125" t="str">
        <f t="shared" si="2"/>
        <v/>
      </c>
      <c r="AH64" s="125" t="str">
        <f t="shared" si="3"/>
        <v/>
      </c>
      <c r="AI64" s="125" t="str">
        <f t="shared" si="4"/>
        <v/>
      </c>
    </row>
    <row r="65" spans="1:35">
      <c r="A65" s="4">
        <v>61</v>
      </c>
      <c r="B65" s="32" t="s">
        <v>55</v>
      </c>
      <c r="C65" s="34"/>
      <c r="D65" s="37" t="s">
        <v>56</v>
      </c>
      <c r="E65" s="35"/>
      <c r="F65" s="24" t="str">
        <f t="shared" si="5"/>
        <v/>
      </c>
      <c r="G65" s="163"/>
      <c r="H65" s="163"/>
      <c r="I65" s="163"/>
      <c r="J65" s="163"/>
      <c r="K65" s="169"/>
      <c r="L65" s="235"/>
      <c r="M65" s="235"/>
      <c r="N65" s="169"/>
      <c r="O65" s="169"/>
      <c r="P65" s="169"/>
      <c r="Q65" s="175"/>
      <c r="R65" s="175"/>
      <c r="S65" s="175"/>
      <c r="T65" s="180"/>
      <c r="U65" s="122"/>
      <c r="V65" s="122"/>
      <c r="W65" s="122"/>
      <c r="X65" s="122"/>
      <c r="Y65" s="184"/>
      <c r="Z65" s="184"/>
      <c r="AA65" s="184"/>
      <c r="AB65" s="184"/>
      <c r="AC65" s="184"/>
      <c r="AD65" s="184"/>
      <c r="AE65" s="184"/>
      <c r="AF65" s="125" t="str">
        <f t="shared" si="1"/>
        <v/>
      </c>
      <c r="AG65" s="125" t="str">
        <f t="shared" si="2"/>
        <v/>
      </c>
      <c r="AH65" s="125" t="str">
        <f t="shared" si="3"/>
        <v/>
      </c>
      <c r="AI65" s="125" t="str">
        <f t="shared" si="4"/>
        <v/>
      </c>
    </row>
    <row r="66" spans="1:35" s="27" customFormat="1">
      <c r="A66" s="4">
        <v>62</v>
      </c>
      <c r="B66" s="32" t="s">
        <v>55</v>
      </c>
      <c r="C66" s="34"/>
      <c r="D66" s="37" t="s">
        <v>56</v>
      </c>
      <c r="E66" s="35"/>
      <c r="F66" s="24" t="str">
        <f t="shared" si="5"/>
        <v/>
      </c>
      <c r="G66" s="163"/>
      <c r="H66" s="163"/>
      <c r="I66" s="163"/>
      <c r="J66" s="163"/>
      <c r="K66" s="169"/>
      <c r="L66" s="235"/>
      <c r="M66" s="235"/>
      <c r="N66" s="169"/>
      <c r="O66" s="169"/>
      <c r="P66" s="169"/>
      <c r="Q66" s="175"/>
      <c r="R66" s="175"/>
      <c r="S66" s="175"/>
      <c r="T66" s="180"/>
      <c r="U66" s="122"/>
      <c r="V66" s="122"/>
      <c r="W66" s="122"/>
      <c r="X66" s="122"/>
      <c r="Y66" s="184"/>
      <c r="Z66" s="184"/>
      <c r="AA66" s="184"/>
      <c r="AB66" s="184"/>
      <c r="AC66" s="184"/>
      <c r="AD66" s="184"/>
      <c r="AE66" s="184"/>
      <c r="AF66" s="125" t="str">
        <f t="shared" si="1"/>
        <v/>
      </c>
      <c r="AG66" s="125" t="str">
        <f t="shared" si="2"/>
        <v/>
      </c>
      <c r="AH66" s="125" t="str">
        <f t="shared" si="3"/>
        <v/>
      </c>
      <c r="AI66" s="125" t="str">
        <f t="shared" si="4"/>
        <v/>
      </c>
    </row>
    <row r="67" spans="1:35">
      <c r="A67" s="4">
        <v>63</v>
      </c>
      <c r="B67" s="32" t="s">
        <v>55</v>
      </c>
      <c r="C67" s="34"/>
      <c r="D67" s="37" t="s">
        <v>56</v>
      </c>
      <c r="E67" s="35"/>
      <c r="F67" s="24" t="str">
        <f t="shared" si="5"/>
        <v/>
      </c>
      <c r="G67" s="163"/>
      <c r="H67" s="163"/>
      <c r="I67" s="163"/>
      <c r="J67" s="163"/>
      <c r="K67" s="169"/>
      <c r="L67" s="235"/>
      <c r="M67" s="235"/>
      <c r="N67" s="169"/>
      <c r="O67" s="169"/>
      <c r="P67" s="169"/>
      <c r="Q67" s="175"/>
      <c r="R67" s="175"/>
      <c r="S67" s="175"/>
      <c r="T67" s="180"/>
      <c r="U67" s="122"/>
      <c r="V67" s="122"/>
      <c r="W67" s="122"/>
      <c r="X67" s="122"/>
      <c r="Y67" s="184"/>
      <c r="Z67" s="184"/>
      <c r="AA67" s="184"/>
      <c r="AB67" s="184"/>
      <c r="AC67" s="184"/>
      <c r="AD67" s="184"/>
      <c r="AE67" s="184"/>
      <c r="AF67" s="125" t="str">
        <f t="shared" si="1"/>
        <v/>
      </c>
      <c r="AG67" s="125" t="str">
        <f t="shared" si="2"/>
        <v/>
      </c>
      <c r="AH67" s="125" t="str">
        <f t="shared" si="3"/>
        <v/>
      </c>
      <c r="AI67" s="125" t="str">
        <f t="shared" si="4"/>
        <v/>
      </c>
    </row>
    <row r="68" spans="1:35">
      <c r="A68" s="4">
        <v>64</v>
      </c>
      <c r="B68" s="32" t="s">
        <v>55</v>
      </c>
      <c r="C68" s="34"/>
      <c r="D68" s="37" t="s">
        <v>56</v>
      </c>
      <c r="E68" s="35"/>
      <c r="F68" s="24" t="str">
        <f t="shared" si="5"/>
        <v/>
      </c>
      <c r="G68" s="163"/>
      <c r="H68" s="163"/>
      <c r="I68" s="163"/>
      <c r="J68" s="163"/>
      <c r="K68" s="169"/>
      <c r="L68" s="235"/>
      <c r="M68" s="235"/>
      <c r="N68" s="169"/>
      <c r="O68" s="169"/>
      <c r="P68" s="169"/>
      <c r="Q68" s="175"/>
      <c r="R68" s="175"/>
      <c r="S68" s="175"/>
      <c r="T68" s="180"/>
      <c r="U68" s="122"/>
      <c r="V68" s="122"/>
      <c r="W68" s="122"/>
      <c r="X68" s="122"/>
      <c r="Y68" s="184"/>
      <c r="Z68" s="184"/>
      <c r="AA68" s="184"/>
      <c r="AB68" s="184"/>
      <c r="AC68" s="184"/>
      <c r="AD68" s="184"/>
      <c r="AE68" s="184"/>
      <c r="AF68" s="125" t="str">
        <f t="shared" si="1"/>
        <v/>
      </c>
      <c r="AG68" s="125" t="str">
        <f t="shared" si="2"/>
        <v/>
      </c>
      <c r="AH68" s="125" t="str">
        <f t="shared" si="3"/>
        <v/>
      </c>
      <c r="AI68" s="125" t="str">
        <f t="shared" si="4"/>
        <v/>
      </c>
    </row>
    <row r="69" spans="1:35">
      <c r="A69" s="4">
        <v>65</v>
      </c>
      <c r="B69" s="32" t="s">
        <v>55</v>
      </c>
      <c r="C69" s="34"/>
      <c r="D69" s="37" t="s">
        <v>56</v>
      </c>
      <c r="E69" s="35"/>
      <c r="F69" s="24" t="str">
        <f t="shared" si="5"/>
        <v/>
      </c>
      <c r="G69" s="163"/>
      <c r="H69" s="163"/>
      <c r="I69" s="163"/>
      <c r="J69" s="163"/>
      <c r="K69" s="169"/>
      <c r="L69" s="235"/>
      <c r="M69" s="235"/>
      <c r="N69" s="169"/>
      <c r="O69" s="169"/>
      <c r="P69" s="169"/>
      <c r="Q69" s="175"/>
      <c r="R69" s="175"/>
      <c r="S69" s="175"/>
      <c r="T69" s="180"/>
      <c r="U69" s="122"/>
      <c r="V69" s="122"/>
      <c r="W69" s="122"/>
      <c r="X69" s="122"/>
      <c r="Y69" s="184"/>
      <c r="Z69" s="184"/>
      <c r="AA69" s="184"/>
      <c r="AB69" s="184"/>
      <c r="AC69" s="184"/>
      <c r="AD69" s="184"/>
      <c r="AE69" s="184"/>
      <c r="AF69" s="125" t="str">
        <f t="shared" si="1"/>
        <v/>
      </c>
      <c r="AG69" s="125" t="str">
        <f t="shared" si="2"/>
        <v/>
      </c>
      <c r="AH69" s="125" t="str">
        <f t="shared" si="3"/>
        <v/>
      </c>
      <c r="AI69" s="125" t="str">
        <f t="shared" si="4"/>
        <v/>
      </c>
    </row>
    <row r="70" spans="1:35">
      <c r="A70" s="4">
        <v>66</v>
      </c>
      <c r="B70" s="32" t="s">
        <v>55</v>
      </c>
      <c r="C70" s="34"/>
      <c r="D70" s="37" t="s">
        <v>56</v>
      </c>
      <c r="E70" s="35"/>
      <c r="F70" s="24" t="str">
        <f t="shared" ref="F70:F101" si="6">IF(ISBLANK(C70),"",(C70-C69)*$E$4+(E70-E69))</f>
        <v/>
      </c>
      <c r="G70" s="163"/>
      <c r="H70" s="163"/>
      <c r="I70" s="163"/>
      <c r="J70" s="163"/>
      <c r="K70" s="169"/>
      <c r="L70" s="235"/>
      <c r="M70" s="235"/>
      <c r="N70" s="169"/>
      <c r="O70" s="169"/>
      <c r="P70" s="169"/>
      <c r="Q70" s="175"/>
      <c r="R70" s="175"/>
      <c r="S70" s="175"/>
      <c r="T70" s="180"/>
      <c r="U70" s="122"/>
      <c r="V70" s="122"/>
      <c r="W70" s="122"/>
      <c r="X70" s="122"/>
      <c r="Y70" s="184"/>
      <c r="Z70" s="184"/>
      <c r="AA70" s="184"/>
      <c r="AB70" s="184"/>
      <c r="AC70" s="184"/>
      <c r="AD70" s="184"/>
      <c r="AE70" s="184"/>
      <c r="AF70" s="125" t="str">
        <f t="shared" ref="AF70:AF133" si="7">IF(ISBLANK(C70),"",G70)</f>
        <v/>
      </c>
      <c r="AG70" s="125" t="str">
        <f t="shared" ref="AG70:AG133" si="8">IF(ISBLANK(C70),"",SUM(K70:X70))</f>
        <v/>
      </c>
      <c r="AH70" s="125" t="str">
        <f t="shared" ref="AH70:AH133" si="9">IF(ISBLANK(C70),"",SUM(Y70:Z70))</f>
        <v/>
      </c>
      <c r="AI70" s="125" t="str">
        <f t="shared" ref="AI70:AI133" si="10">IF(ISBLANK(C70),"",SUM(AA70:AB70))</f>
        <v/>
      </c>
    </row>
    <row r="71" spans="1:35">
      <c r="A71" s="4">
        <v>67</v>
      </c>
      <c r="B71" s="32" t="s">
        <v>55</v>
      </c>
      <c r="C71" s="34"/>
      <c r="D71" s="37" t="s">
        <v>56</v>
      </c>
      <c r="E71" s="35"/>
      <c r="F71" s="24" t="str">
        <f t="shared" si="6"/>
        <v/>
      </c>
      <c r="G71" s="163"/>
      <c r="H71" s="163"/>
      <c r="I71" s="163"/>
      <c r="J71" s="163"/>
      <c r="K71" s="169"/>
      <c r="L71" s="235"/>
      <c r="M71" s="235"/>
      <c r="N71" s="169"/>
      <c r="O71" s="169"/>
      <c r="P71" s="169"/>
      <c r="Q71" s="175"/>
      <c r="R71" s="175"/>
      <c r="S71" s="175"/>
      <c r="T71" s="180"/>
      <c r="U71" s="122"/>
      <c r="V71" s="122"/>
      <c r="W71" s="122"/>
      <c r="X71" s="122"/>
      <c r="Y71" s="184"/>
      <c r="Z71" s="184"/>
      <c r="AA71" s="184"/>
      <c r="AB71" s="184"/>
      <c r="AC71" s="184"/>
      <c r="AD71" s="184"/>
      <c r="AE71" s="184"/>
      <c r="AF71" s="125" t="str">
        <f t="shared" si="7"/>
        <v/>
      </c>
      <c r="AG71" s="125" t="str">
        <f t="shared" si="8"/>
        <v/>
      </c>
      <c r="AH71" s="125" t="str">
        <f t="shared" si="9"/>
        <v/>
      </c>
      <c r="AI71" s="125" t="str">
        <f t="shared" si="10"/>
        <v/>
      </c>
    </row>
    <row r="72" spans="1:35">
      <c r="A72" s="4">
        <v>68</v>
      </c>
      <c r="B72" s="32" t="s">
        <v>55</v>
      </c>
      <c r="C72" s="34"/>
      <c r="D72" s="37" t="s">
        <v>56</v>
      </c>
      <c r="E72" s="35"/>
      <c r="F72" s="24" t="str">
        <f t="shared" si="6"/>
        <v/>
      </c>
      <c r="G72" s="163"/>
      <c r="H72" s="163"/>
      <c r="I72" s="163"/>
      <c r="J72" s="163"/>
      <c r="K72" s="169"/>
      <c r="L72" s="235"/>
      <c r="M72" s="235"/>
      <c r="N72" s="169"/>
      <c r="O72" s="169"/>
      <c r="P72" s="169"/>
      <c r="Q72" s="175"/>
      <c r="R72" s="175"/>
      <c r="S72" s="175"/>
      <c r="T72" s="180"/>
      <c r="U72" s="122"/>
      <c r="V72" s="122"/>
      <c r="W72" s="122"/>
      <c r="X72" s="122"/>
      <c r="Y72" s="184"/>
      <c r="Z72" s="184"/>
      <c r="AA72" s="184"/>
      <c r="AB72" s="184"/>
      <c r="AC72" s="184"/>
      <c r="AD72" s="184"/>
      <c r="AE72" s="184"/>
      <c r="AF72" s="125" t="str">
        <f t="shared" si="7"/>
        <v/>
      </c>
      <c r="AG72" s="125" t="str">
        <f t="shared" si="8"/>
        <v/>
      </c>
      <c r="AH72" s="125" t="str">
        <f t="shared" si="9"/>
        <v/>
      </c>
      <c r="AI72" s="125" t="str">
        <f t="shared" si="10"/>
        <v/>
      </c>
    </row>
    <row r="73" spans="1:35" s="27" customFormat="1">
      <c r="A73" s="4">
        <v>69</v>
      </c>
      <c r="B73" s="32" t="s">
        <v>55</v>
      </c>
      <c r="C73" s="34"/>
      <c r="D73" s="37" t="s">
        <v>56</v>
      </c>
      <c r="E73" s="35"/>
      <c r="F73" s="24" t="str">
        <f t="shared" si="6"/>
        <v/>
      </c>
      <c r="G73" s="163"/>
      <c r="H73" s="163"/>
      <c r="I73" s="163"/>
      <c r="J73" s="163"/>
      <c r="K73" s="169"/>
      <c r="L73" s="235"/>
      <c r="M73" s="235"/>
      <c r="N73" s="169"/>
      <c r="O73" s="169"/>
      <c r="P73" s="169"/>
      <c r="Q73" s="175"/>
      <c r="R73" s="175"/>
      <c r="S73" s="175"/>
      <c r="T73" s="180"/>
      <c r="U73" s="122"/>
      <c r="V73" s="122"/>
      <c r="W73" s="122"/>
      <c r="X73" s="122"/>
      <c r="Y73" s="184"/>
      <c r="Z73" s="184"/>
      <c r="AA73" s="184"/>
      <c r="AB73" s="184"/>
      <c r="AC73" s="184"/>
      <c r="AD73" s="184"/>
      <c r="AE73" s="184"/>
      <c r="AF73" s="125" t="str">
        <f t="shared" si="7"/>
        <v/>
      </c>
      <c r="AG73" s="125" t="str">
        <f t="shared" si="8"/>
        <v/>
      </c>
      <c r="AH73" s="125" t="str">
        <f t="shared" si="9"/>
        <v/>
      </c>
      <c r="AI73" s="125" t="str">
        <f t="shared" si="10"/>
        <v/>
      </c>
    </row>
    <row r="74" spans="1:35" s="27" customFormat="1">
      <c r="A74" s="4">
        <v>70</v>
      </c>
      <c r="B74" s="32" t="s">
        <v>55</v>
      </c>
      <c r="C74" s="34"/>
      <c r="D74" s="37" t="s">
        <v>56</v>
      </c>
      <c r="E74" s="35"/>
      <c r="F74" s="24" t="str">
        <f t="shared" si="6"/>
        <v/>
      </c>
      <c r="G74" s="163"/>
      <c r="H74" s="163"/>
      <c r="I74" s="163"/>
      <c r="J74" s="163"/>
      <c r="K74" s="169"/>
      <c r="L74" s="235"/>
      <c r="M74" s="235"/>
      <c r="N74" s="169"/>
      <c r="O74" s="169"/>
      <c r="P74" s="169"/>
      <c r="Q74" s="175"/>
      <c r="R74" s="175"/>
      <c r="S74" s="175"/>
      <c r="T74" s="180"/>
      <c r="U74" s="122"/>
      <c r="V74" s="122"/>
      <c r="W74" s="122"/>
      <c r="X74" s="122"/>
      <c r="Y74" s="184"/>
      <c r="Z74" s="184"/>
      <c r="AA74" s="184"/>
      <c r="AB74" s="184"/>
      <c r="AC74" s="184"/>
      <c r="AD74" s="184"/>
      <c r="AE74" s="184"/>
      <c r="AF74" s="125" t="str">
        <f t="shared" si="7"/>
        <v/>
      </c>
      <c r="AG74" s="125" t="str">
        <f t="shared" si="8"/>
        <v/>
      </c>
      <c r="AH74" s="125" t="str">
        <f t="shared" si="9"/>
        <v/>
      </c>
      <c r="AI74" s="125" t="str">
        <f t="shared" si="10"/>
        <v/>
      </c>
    </row>
    <row r="75" spans="1:35">
      <c r="A75" s="4">
        <v>71</v>
      </c>
      <c r="B75" s="32" t="s">
        <v>55</v>
      </c>
      <c r="C75" s="34"/>
      <c r="D75" s="37" t="s">
        <v>56</v>
      </c>
      <c r="E75" s="35"/>
      <c r="F75" s="24" t="str">
        <f t="shared" si="6"/>
        <v/>
      </c>
      <c r="G75" s="163"/>
      <c r="H75" s="163"/>
      <c r="I75" s="163"/>
      <c r="J75" s="163"/>
      <c r="K75" s="169"/>
      <c r="L75" s="235"/>
      <c r="M75" s="235"/>
      <c r="N75" s="169"/>
      <c r="O75" s="169"/>
      <c r="P75" s="169"/>
      <c r="Q75" s="175"/>
      <c r="R75" s="175"/>
      <c r="S75" s="175"/>
      <c r="T75" s="180"/>
      <c r="U75" s="122"/>
      <c r="V75" s="122"/>
      <c r="W75" s="122"/>
      <c r="X75" s="122"/>
      <c r="Y75" s="184"/>
      <c r="Z75" s="184"/>
      <c r="AA75" s="184"/>
      <c r="AB75" s="184"/>
      <c r="AC75" s="184"/>
      <c r="AD75" s="184"/>
      <c r="AE75" s="184"/>
      <c r="AF75" s="125" t="str">
        <f t="shared" si="7"/>
        <v/>
      </c>
      <c r="AG75" s="125" t="str">
        <f t="shared" si="8"/>
        <v/>
      </c>
      <c r="AH75" s="125" t="str">
        <f t="shared" si="9"/>
        <v/>
      </c>
      <c r="AI75" s="125" t="str">
        <f t="shared" si="10"/>
        <v/>
      </c>
    </row>
    <row r="76" spans="1:35">
      <c r="A76" s="4">
        <v>72</v>
      </c>
      <c r="B76" s="32" t="s">
        <v>55</v>
      </c>
      <c r="C76" s="34"/>
      <c r="D76" s="37" t="s">
        <v>56</v>
      </c>
      <c r="E76" s="35"/>
      <c r="F76" s="24" t="str">
        <f t="shared" si="6"/>
        <v/>
      </c>
      <c r="G76" s="163"/>
      <c r="H76" s="163"/>
      <c r="I76" s="163"/>
      <c r="J76" s="163"/>
      <c r="K76" s="169"/>
      <c r="L76" s="235"/>
      <c r="M76" s="235"/>
      <c r="N76" s="169"/>
      <c r="O76" s="169"/>
      <c r="P76" s="169"/>
      <c r="Q76" s="175"/>
      <c r="R76" s="175"/>
      <c r="S76" s="175"/>
      <c r="T76" s="180"/>
      <c r="U76" s="122"/>
      <c r="V76" s="122"/>
      <c r="W76" s="122"/>
      <c r="X76" s="122"/>
      <c r="Y76" s="184"/>
      <c r="Z76" s="184"/>
      <c r="AA76" s="184"/>
      <c r="AB76" s="184"/>
      <c r="AC76" s="184"/>
      <c r="AD76" s="184"/>
      <c r="AE76" s="184"/>
      <c r="AF76" s="125" t="str">
        <f t="shared" si="7"/>
        <v/>
      </c>
      <c r="AG76" s="125" t="str">
        <f t="shared" si="8"/>
        <v/>
      </c>
      <c r="AH76" s="125" t="str">
        <f t="shared" si="9"/>
        <v/>
      </c>
      <c r="AI76" s="125" t="str">
        <f t="shared" si="10"/>
        <v/>
      </c>
    </row>
    <row r="77" spans="1:35" s="27" customFormat="1">
      <c r="A77" s="4">
        <v>73</v>
      </c>
      <c r="B77" s="32" t="s">
        <v>55</v>
      </c>
      <c r="C77" s="34"/>
      <c r="D77" s="37" t="s">
        <v>56</v>
      </c>
      <c r="E77" s="35"/>
      <c r="F77" s="24" t="str">
        <f t="shared" si="6"/>
        <v/>
      </c>
      <c r="G77" s="163"/>
      <c r="H77" s="163"/>
      <c r="I77" s="163"/>
      <c r="J77" s="163"/>
      <c r="K77" s="169"/>
      <c r="L77" s="235"/>
      <c r="M77" s="235"/>
      <c r="N77" s="169"/>
      <c r="O77" s="169"/>
      <c r="P77" s="169"/>
      <c r="Q77" s="175"/>
      <c r="R77" s="175"/>
      <c r="S77" s="175"/>
      <c r="T77" s="180"/>
      <c r="U77" s="122"/>
      <c r="V77" s="122"/>
      <c r="W77" s="122"/>
      <c r="X77" s="122"/>
      <c r="Y77" s="184"/>
      <c r="Z77" s="184"/>
      <c r="AA77" s="184"/>
      <c r="AB77" s="184"/>
      <c r="AC77" s="184"/>
      <c r="AD77" s="184"/>
      <c r="AE77" s="184"/>
      <c r="AF77" s="125" t="str">
        <f t="shared" si="7"/>
        <v/>
      </c>
      <c r="AG77" s="125" t="str">
        <f t="shared" si="8"/>
        <v/>
      </c>
      <c r="AH77" s="125" t="str">
        <f t="shared" si="9"/>
        <v/>
      </c>
      <c r="AI77" s="125" t="str">
        <f t="shared" si="10"/>
        <v/>
      </c>
    </row>
    <row r="78" spans="1:35" s="27" customFormat="1">
      <c r="A78" s="4">
        <v>74</v>
      </c>
      <c r="B78" s="32" t="s">
        <v>55</v>
      </c>
      <c r="C78" s="34"/>
      <c r="D78" s="37" t="s">
        <v>56</v>
      </c>
      <c r="E78" s="35"/>
      <c r="F78" s="24" t="str">
        <f t="shared" si="6"/>
        <v/>
      </c>
      <c r="G78" s="163"/>
      <c r="H78" s="163"/>
      <c r="I78" s="163"/>
      <c r="J78" s="163"/>
      <c r="K78" s="169"/>
      <c r="L78" s="235"/>
      <c r="M78" s="235"/>
      <c r="N78" s="169"/>
      <c r="O78" s="169"/>
      <c r="P78" s="169"/>
      <c r="Q78" s="175"/>
      <c r="R78" s="175"/>
      <c r="S78" s="175"/>
      <c r="T78" s="180"/>
      <c r="U78" s="122"/>
      <c r="V78" s="122"/>
      <c r="W78" s="122"/>
      <c r="X78" s="122"/>
      <c r="Y78" s="184"/>
      <c r="Z78" s="184"/>
      <c r="AA78" s="184"/>
      <c r="AB78" s="184"/>
      <c r="AC78" s="184"/>
      <c r="AD78" s="184"/>
      <c r="AE78" s="184"/>
      <c r="AF78" s="125" t="str">
        <f t="shared" si="7"/>
        <v/>
      </c>
      <c r="AG78" s="125" t="str">
        <f t="shared" si="8"/>
        <v/>
      </c>
      <c r="AH78" s="125" t="str">
        <f t="shared" si="9"/>
        <v/>
      </c>
      <c r="AI78" s="125" t="str">
        <f t="shared" si="10"/>
        <v/>
      </c>
    </row>
    <row r="79" spans="1:35">
      <c r="A79" s="4">
        <v>75</v>
      </c>
      <c r="B79" s="32" t="s">
        <v>55</v>
      </c>
      <c r="C79" s="34"/>
      <c r="D79" s="37" t="s">
        <v>56</v>
      </c>
      <c r="E79" s="35"/>
      <c r="F79" s="24" t="str">
        <f t="shared" si="6"/>
        <v/>
      </c>
      <c r="G79" s="163"/>
      <c r="H79" s="163"/>
      <c r="I79" s="163"/>
      <c r="J79" s="163"/>
      <c r="K79" s="169"/>
      <c r="L79" s="235"/>
      <c r="M79" s="235"/>
      <c r="N79" s="169"/>
      <c r="O79" s="169"/>
      <c r="P79" s="169"/>
      <c r="Q79" s="175"/>
      <c r="R79" s="175"/>
      <c r="S79" s="175"/>
      <c r="T79" s="180"/>
      <c r="U79" s="122"/>
      <c r="V79" s="122"/>
      <c r="W79" s="122"/>
      <c r="X79" s="122"/>
      <c r="Y79" s="184"/>
      <c r="Z79" s="184"/>
      <c r="AA79" s="184"/>
      <c r="AB79" s="184"/>
      <c r="AC79" s="184"/>
      <c r="AD79" s="184"/>
      <c r="AE79" s="184"/>
      <c r="AF79" s="125" t="str">
        <f t="shared" si="7"/>
        <v/>
      </c>
      <c r="AG79" s="125" t="str">
        <f t="shared" si="8"/>
        <v/>
      </c>
      <c r="AH79" s="125" t="str">
        <f t="shared" si="9"/>
        <v/>
      </c>
      <c r="AI79" s="125" t="str">
        <f t="shared" si="10"/>
        <v/>
      </c>
    </row>
    <row r="80" spans="1:35">
      <c r="A80" s="4">
        <v>76</v>
      </c>
      <c r="B80" s="32" t="s">
        <v>55</v>
      </c>
      <c r="C80" s="34"/>
      <c r="D80" s="37" t="s">
        <v>56</v>
      </c>
      <c r="E80" s="35"/>
      <c r="F80" s="24" t="str">
        <f t="shared" si="6"/>
        <v/>
      </c>
      <c r="G80" s="163"/>
      <c r="H80" s="163"/>
      <c r="I80" s="163"/>
      <c r="J80" s="163"/>
      <c r="K80" s="169"/>
      <c r="L80" s="235"/>
      <c r="M80" s="235"/>
      <c r="N80" s="169"/>
      <c r="O80" s="169"/>
      <c r="P80" s="169"/>
      <c r="Q80" s="175"/>
      <c r="R80" s="175"/>
      <c r="S80" s="175"/>
      <c r="T80" s="180"/>
      <c r="U80" s="122"/>
      <c r="V80" s="122"/>
      <c r="W80" s="122"/>
      <c r="X80" s="122"/>
      <c r="Y80" s="184"/>
      <c r="Z80" s="184"/>
      <c r="AA80" s="184"/>
      <c r="AB80" s="184"/>
      <c r="AC80" s="184"/>
      <c r="AD80" s="184"/>
      <c r="AE80" s="184"/>
      <c r="AF80" s="125" t="str">
        <f t="shared" si="7"/>
        <v/>
      </c>
      <c r="AG80" s="125" t="str">
        <f t="shared" si="8"/>
        <v/>
      </c>
      <c r="AH80" s="125" t="str">
        <f t="shared" si="9"/>
        <v/>
      </c>
      <c r="AI80" s="125" t="str">
        <f t="shared" si="10"/>
        <v/>
      </c>
    </row>
    <row r="81" spans="1:35">
      <c r="A81" s="4">
        <v>77</v>
      </c>
      <c r="B81" s="32" t="s">
        <v>55</v>
      </c>
      <c r="C81" s="34"/>
      <c r="D81" s="37" t="s">
        <v>56</v>
      </c>
      <c r="E81" s="35"/>
      <c r="F81" s="24" t="str">
        <f t="shared" si="6"/>
        <v/>
      </c>
      <c r="G81" s="163"/>
      <c r="H81" s="163"/>
      <c r="I81" s="163"/>
      <c r="J81" s="163"/>
      <c r="K81" s="169"/>
      <c r="L81" s="235"/>
      <c r="M81" s="235"/>
      <c r="N81" s="169"/>
      <c r="O81" s="169"/>
      <c r="P81" s="169"/>
      <c r="Q81" s="175"/>
      <c r="R81" s="175"/>
      <c r="S81" s="175"/>
      <c r="T81" s="180"/>
      <c r="U81" s="122"/>
      <c r="V81" s="122"/>
      <c r="W81" s="122"/>
      <c r="X81" s="122"/>
      <c r="Y81" s="184"/>
      <c r="Z81" s="184"/>
      <c r="AA81" s="184"/>
      <c r="AB81" s="184"/>
      <c r="AC81" s="184"/>
      <c r="AD81" s="184"/>
      <c r="AE81" s="184"/>
      <c r="AF81" s="125" t="str">
        <f t="shared" si="7"/>
        <v/>
      </c>
      <c r="AG81" s="125" t="str">
        <f t="shared" si="8"/>
        <v/>
      </c>
      <c r="AH81" s="125" t="str">
        <f t="shared" si="9"/>
        <v/>
      </c>
      <c r="AI81" s="125" t="str">
        <f t="shared" si="10"/>
        <v/>
      </c>
    </row>
    <row r="82" spans="1:35" s="27" customFormat="1">
      <c r="A82" s="4">
        <v>78</v>
      </c>
      <c r="B82" s="32" t="s">
        <v>55</v>
      </c>
      <c r="C82" s="34"/>
      <c r="D82" s="37" t="s">
        <v>56</v>
      </c>
      <c r="E82" s="35"/>
      <c r="F82" s="24" t="str">
        <f t="shared" si="6"/>
        <v/>
      </c>
      <c r="G82" s="163"/>
      <c r="H82" s="163"/>
      <c r="I82" s="163"/>
      <c r="J82" s="163"/>
      <c r="K82" s="169"/>
      <c r="L82" s="235"/>
      <c r="M82" s="235"/>
      <c r="N82" s="169"/>
      <c r="O82" s="169"/>
      <c r="P82" s="169"/>
      <c r="Q82" s="175"/>
      <c r="R82" s="175"/>
      <c r="S82" s="175"/>
      <c r="T82" s="180"/>
      <c r="U82" s="122"/>
      <c r="V82" s="122"/>
      <c r="W82" s="122"/>
      <c r="X82" s="122"/>
      <c r="Y82" s="184"/>
      <c r="Z82" s="184"/>
      <c r="AA82" s="184"/>
      <c r="AB82" s="184"/>
      <c r="AC82" s="184"/>
      <c r="AD82" s="184"/>
      <c r="AE82" s="184"/>
      <c r="AF82" s="125" t="str">
        <f t="shared" si="7"/>
        <v/>
      </c>
      <c r="AG82" s="125" t="str">
        <f t="shared" si="8"/>
        <v/>
      </c>
      <c r="AH82" s="125" t="str">
        <f t="shared" si="9"/>
        <v/>
      </c>
      <c r="AI82" s="125" t="str">
        <f t="shared" si="10"/>
        <v/>
      </c>
    </row>
    <row r="83" spans="1:35">
      <c r="A83" s="4">
        <v>79</v>
      </c>
      <c r="B83" s="32" t="s">
        <v>55</v>
      </c>
      <c r="C83" s="34"/>
      <c r="D83" s="37" t="s">
        <v>56</v>
      </c>
      <c r="E83" s="35"/>
      <c r="F83" s="24" t="str">
        <f t="shared" si="6"/>
        <v/>
      </c>
      <c r="G83" s="163"/>
      <c r="H83" s="163"/>
      <c r="I83" s="163"/>
      <c r="J83" s="163"/>
      <c r="K83" s="169"/>
      <c r="L83" s="235"/>
      <c r="M83" s="235"/>
      <c r="N83" s="169"/>
      <c r="O83" s="169"/>
      <c r="P83" s="169"/>
      <c r="Q83" s="175"/>
      <c r="R83" s="175"/>
      <c r="S83" s="175"/>
      <c r="T83" s="180"/>
      <c r="U83" s="122"/>
      <c r="V83" s="122"/>
      <c r="W83" s="122"/>
      <c r="X83" s="122"/>
      <c r="Y83" s="184"/>
      <c r="Z83" s="184"/>
      <c r="AA83" s="184"/>
      <c r="AB83" s="184"/>
      <c r="AC83" s="184"/>
      <c r="AD83" s="184"/>
      <c r="AE83" s="184"/>
      <c r="AF83" s="125" t="str">
        <f t="shared" si="7"/>
        <v/>
      </c>
      <c r="AG83" s="125" t="str">
        <f t="shared" si="8"/>
        <v/>
      </c>
      <c r="AH83" s="125" t="str">
        <f t="shared" si="9"/>
        <v/>
      </c>
      <c r="AI83" s="125" t="str">
        <f t="shared" si="10"/>
        <v/>
      </c>
    </row>
    <row r="84" spans="1:35">
      <c r="A84" s="4">
        <v>80</v>
      </c>
      <c r="B84" s="32" t="s">
        <v>55</v>
      </c>
      <c r="C84" s="34"/>
      <c r="D84" s="37" t="s">
        <v>56</v>
      </c>
      <c r="E84" s="35"/>
      <c r="F84" s="24" t="str">
        <f t="shared" si="6"/>
        <v/>
      </c>
      <c r="G84" s="163"/>
      <c r="H84" s="163"/>
      <c r="I84" s="163"/>
      <c r="J84" s="163"/>
      <c r="K84" s="169"/>
      <c r="L84" s="235"/>
      <c r="M84" s="235"/>
      <c r="N84" s="169"/>
      <c r="O84" s="169"/>
      <c r="P84" s="169"/>
      <c r="Q84" s="175"/>
      <c r="R84" s="175"/>
      <c r="S84" s="175"/>
      <c r="T84" s="180"/>
      <c r="U84" s="122"/>
      <c r="V84" s="122"/>
      <c r="W84" s="122"/>
      <c r="X84" s="122"/>
      <c r="Y84" s="184"/>
      <c r="Z84" s="184"/>
      <c r="AA84" s="184"/>
      <c r="AB84" s="184"/>
      <c r="AC84" s="184"/>
      <c r="AD84" s="184"/>
      <c r="AE84" s="184"/>
      <c r="AF84" s="125" t="str">
        <f t="shared" si="7"/>
        <v/>
      </c>
      <c r="AG84" s="125" t="str">
        <f t="shared" si="8"/>
        <v/>
      </c>
      <c r="AH84" s="125" t="str">
        <f t="shared" si="9"/>
        <v/>
      </c>
      <c r="AI84" s="125" t="str">
        <f t="shared" si="10"/>
        <v/>
      </c>
    </row>
    <row r="85" spans="1:35">
      <c r="A85" s="4">
        <v>81</v>
      </c>
      <c r="B85" s="32" t="s">
        <v>55</v>
      </c>
      <c r="C85" s="34"/>
      <c r="D85" s="37" t="s">
        <v>56</v>
      </c>
      <c r="E85" s="35"/>
      <c r="F85" s="24" t="str">
        <f t="shared" si="6"/>
        <v/>
      </c>
      <c r="G85" s="163"/>
      <c r="H85" s="163"/>
      <c r="I85" s="163"/>
      <c r="J85" s="163"/>
      <c r="K85" s="169"/>
      <c r="L85" s="235"/>
      <c r="M85" s="235"/>
      <c r="N85" s="169"/>
      <c r="O85" s="169"/>
      <c r="P85" s="169"/>
      <c r="Q85" s="175"/>
      <c r="R85" s="175"/>
      <c r="S85" s="175"/>
      <c r="T85" s="180"/>
      <c r="U85" s="122"/>
      <c r="V85" s="122"/>
      <c r="W85" s="122"/>
      <c r="X85" s="122"/>
      <c r="Y85" s="184"/>
      <c r="Z85" s="184"/>
      <c r="AA85" s="184"/>
      <c r="AB85" s="184"/>
      <c r="AC85" s="184"/>
      <c r="AD85" s="184"/>
      <c r="AE85" s="184"/>
      <c r="AF85" s="125" t="str">
        <f t="shared" si="7"/>
        <v/>
      </c>
      <c r="AG85" s="125" t="str">
        <f t="shared" si="8"/>
        <v/>
      </c>
      <c r="AH85" s="125" t="str">
        <f t="shared" si="9"/>
        <v/>
      </c>
      <c r="AI85" s="125" t="str">
        <f t="shared" si="10"/>
        <v/>
      </c>
    </row>
    <row r="86" spans="1:35">
      <c r="A86" s="4">
        <v>82</v>
      </c>
      <c r="B86" s="32" t="s">
        <v>55</v>
      </c>
      <c r="C86" s="34"/>
      <c r="D86" s="37" t="s">
        <v>56</v>
      </c>
      <c r="E86" s="35"/>
      <c r="F86" s="24" t="str">
        <f t="shared" si="6"/>
        <v/>
      </c>
      <c r="G86" s="163"/>
      <c r="H86" s="163"/>
      <c r="I86" s="163"/>
      <c r="J86" s="163"/>
      <c r="K86" s="169"/>
      <c r="L86" s="235"/>
      <c r="M86" s="235"/>
      <c r="N86" s="169"/>
      <c r="O86" s="169"/>
      <c r="P86" s="169"/>
      <c r="Q86" s="175"/>
      <c r="R86" s="175"/>
      <c r="S86" s="175"/>
      <c r="T86" s="180"/>
      <c r="U86" s="122"/>
      <c r="V86" s="122"/>
      <c r="W86" s="122"/>
      <c r="X86" s="122"/>
      <c r="Y86" s="184"/>
      <c r="Z86" s="184"/>
      <c r="AA86" s="184"/>
      <c r="AB86" s="184"/>
      <c r="AC86" s="184"/>
      <c r="AD86" s="184"/>
      <c r="AE86" s="184"/>
      <c r="AF86" s="125" t="str">
        <f t="shared" si="7"/>
        <v/>
      </c>
      <c r="AG86" s="125" t="str">
        <f t="shared" si="8"/>
        <v/>
      </c>
      <c r="AH86" s="125" t="str">
        <f t="shared" si="9"/>
        <v/>
      </c>
      <c r="AI86" s="125" t="str">
        <f t="shared" si="10"/>
        <v/>
      </c>
    </row>
    <row r="87" spans="1:35">
      <c r="A87" s="4">
        <v>83</v>
      </c>
      <c r="B87" s="32" t="s">
        <v>55</v>
      </c>
      <c r="C87" s="34"/>
      <c r="D87" s="37" t="s">
        <v>56</v>
      </c>
      <c r="E87" s="35"/>
      <c r="F87" s="24" t="str">
        <f t="shared" si="6"/>
        <v/>
      </c>
      <c r="G87" s="163"/>
      <c r="H87" s="163"/>
      <c r="I87" s="163"/>
      <c r="J87" s="163"/>
      <c r="K87" s="169"/>
      <c r="L87" s="235"/>
      <c r="M87" s="235"/>
      <c r="N87" s="169"/>
      <c r="O87" s="169"/>
      <c r="P87" s="169"/>
      <c r="Q87" s="175"/>
      <c r="R87" s="175"/>
      <c r="S87" s="175"/>
      <c r="T87" s="180"/>
      <c r="U87" s="122"/>
      <c r="V87" s="122"/>
      <c r="W87" s="122"/>
      <c r="X87" s="122"/>
      <c r="Y87" s="184"/>
      <c r="Z87" s="184"/>
      <c r="AA87" s="184"/>
      <c r="AB87" s="184"/>
      <c r="AC87" s="184"/>
      <c r="AD87" s="184"/>
      <c r="AE87" s="184"/>
      <c r="AF87" s="125" t="str">
        <f t="shared" si="7"/>
        <v/>
      </c>
      <c r="AG87" s="125" t="str">
        <f t="shared" si="8"/>
        <v/>
      </c>
      <c r="AH87" s="125" t="str">
        <f t="shared" si="9"/>
        <v/>
      </c>
      <c r="AI87" s="125" t="str">
        <f t="shared" si="10"/>
        <v/>
      </c>
    </row>
    <row r="88" spans="1:35" s="27" customFormat="1">
      <c r="A88" s="4">
        <v>84</v>
      </c>
      <c r="B88" s="32" t="s">
        <v>55</v>
      </c>
      <c r="C88" s="34"/>
      <c r="D88" s="37" t="s">
        <v>56</v>
      </c>
      <c r="E88" s="35"/>
      <c r="F88" s="24" t="str">
        <f t="shared" si="6"/>
        <v/>
      </c>
      <c r="G88" s="163"/>
      <c r="H88" s="163"/>
      <c r="I88" s="163"/>
      <c r="J88" s="163"/>
      <c r="K88" s="169"/>
      <c r="L88" s="235"/>
      <c r="M88" s="235"/>
      <c r="N88" s="169"/>
      <c r="O88" s="169"/>
      <c r="P88" s="169"/>
      <c r="Q88" s="175"/>
      <c r="R88" s="175"/>
      <c r="S88" s="175"/>
      <c r="T88" s="180"/>
      <c r="U88" s="122"/>
      <c r="V88" s="122"/>
      <c r="W88" s="122"/>
      <c r="X88" s="122"/>
      <c r="Y88" s="184"/>
      <c r="Z88" s="184"/>
      <c r="AA88" s="184"/>
      <c r="AB88" s="184"/>
      <c r="AC88" s="184"/>
      <c r="AD88" s="184"/>
      <c r="AE88" s="184"/>
      <c r="AF88" s="125" t="str">
        <f t="shared" si="7"/>
        <v/>
      </c>
      <c r="AG88" s="125" t="str">
        <f t="shared" si="8"/>
        <v/>
      </c>
      <c r="AH88" s="125" t="str">
        <f t="shared" si="9"/>
        <v/>
      </c>
      <c r="AI88" s="125" t="str">
        <f t="shared" si="10"/>
        <v/>
      </c>
    </row>
    <row r="89" spans="1:35">
      <c r="A89" s="4">
        <v>85</v>
      </c>
      <c r="B89" s="32" t="s">
        <v>55</v>
      </c>
      <c r="C89" s="34"/>
      <c r="D89" s="37" t="s">
        <v>56</v>
      </c>
      <c r="E89" s="35"/>
      <c r="F89" s="24" t="str">
        <f t="shared" si="6"/>
        <v/>
      </c>
      <c r="G89" s="163"/>
      <c r="H89" s="163"/>
      <c r="I89" s="163"/>
      <c r="J89" s="163"/>
      <c r="K89" s="169"/>
      <c r="L89" s="235"/>
      <c r="M89" s="235"/>
      <c r="N89" s="169"/>
      <c r="O89" s="169"/>
      <c r="P89" s="169"/>
      <c r="Q89" s="175"/>
      <c r="R89" s="175"/>
      <c r="S89" s="175"/>
      <c r="T89" s="180"/>
      <c r="U89" s="122"/>
      <c r="V89" s="122"/>
      <c r="W89" s="122"/>
      <c r="X89" s="122"/>
      <c r="Y89" s="184"/>
      <c r="Z89" s="184"/>
      <c r="AA89" s="184"/>
      <c r="AB89" s="184"/>
      <c r="AC89" s="184"/>
      <c r="AD89" s="184"/>
      <c r="AE89" s="184"/>
      <c r="AF89" s="125" t="str">
        <f t="shared" si="7"/>
        <v/>
      </c>
      <c r="AG89" s="125" t="str">
        <f t="shared" si="8"/>
        <v/>
      </c>
      <c r="AH89" s="125" t="str">
        <f t="shared" si="9"/>
        <v/>
      </c>
      <c r="AI89" s="125" t="str">
        <f t="shared" si="10"/>
        <v/>
      </c>
    </row>
    <row r="90" spans="1:35">
      <c r="A90" s="4">
        <v>86</v>
      </c>
      <c r="B90" s="32" t="s">
        <v>55</v>
      </c>
      <c r="C90" s="34"/>
      <c r="D90" s="37" t="s">
        <v>56</v>
      </c>
      <c r="E90" s="35"/>
      <c r="F90" s="24" t="str">
        <f t="shared" si="6"/>
        <v/>
      </c>
      <c r="G90" s="163"/>
      <c r="H90" s="163"/>
      <c r="I90" s="163"/>
      <c r="J90" s="163"/>
      <c r="K90" s="169"/>
      <c r="L90" s="235"/>
      <c r="M90" s="235"/>
      <c r="N90" s="169"/>
      <c r="O90" s="169"/>
      <c r="P90" s="169"/>
      <c r="Q90" s="175"/>
      <c r="R90" s="175"/>
      <c r="S90" s="175"/>
      <c r="T90" s="180"/>
      <c r="U90" s="122"/>
      <c r="V90" s="122"/>
      <c r="W90" s="122"/>
      <c r="X90" s="122"/>
      <c r="Y90" s="184"/>
      <c r="Z90" s="184"/>
      <c r="AA90" s="184"/>
      <c r="AB90" s="184"/>
      <c r="AC90" s="184"/>
      <c r="AD90" s="184"/>
      <c r="AE90" s="184"/>
      <c r="AF90" s="125" t="str">
        <f t="shared" si="7"/>
        <v/>
      </c>
      <c r="AG90" s="125" t="str">
        <f t="shared" si="8"/>
        <v/>
      </c>
      <c r="AH90" s="125" t="str">
        <f t="shared" si="9"/>
        <v/>
      </c>
      <c r="AI90" s="125" t="str">
        <f t="shared" si="10"/>
        <v/>
      </c>
    </row>
    <row r="91" spans="1:35">
      <c r="A91" s="4">
        <v>87</v>
      </c>
      <c r="B91" s="32" t="s">
        <v>55</v>
      </c>
      <c r="C91" s="34"/>
      <c r="D91" s="37" t="s">
        <v>56</v>
      </c>
      <c r="E91" s="35"/>
      <c r="F91" s="24" t="str">
        <f t="shared" si="6"/>
        <v/>
      </c>
      <c r="G91" s="163"/>
      <c r="H91" s="163"/>
      <c r="I91" s="163"/>
      <c r="J91" s="163"/>
      <c r="K91" s="169"/>
      <c r="L91" s="235"/>
      <c r="M91" s="235"/>
      <c r="N91" s="169"/>
      <c r="O91" s="169"/>
      <c r="P91" s="169"/>
      <c r="Q91" s="175"/>
      <c r="R91" s="175"/>
      <c r="S91" s="175"/>
      <c r="T91" s="180"/>
      <c r="U91" s="122"/>
      <c r="V91" s="122"/>
      <c r="W91" s="122"/>
      <c r="X91" s="122"/>
      <c r="Y91" s="184"/>
      <c r="Z91" s="184"/>
      <c r="AA91" s="184"/>
      <c r="AB91" s="184"/>
      <c r="AC91" s="184"/>
      <c r="AD91" s="184"/>
      <c r="AE91" s="184"/>
      <c r="AF91" s="125" t="str">
        <f t="shared" si="7"/>
        <v/>
      </c>
      <c r="AG91" s="125" t="str">
        <f t="shared" si="8"/>
        <v/>
      </c>
      <c r="AH91" s="125" t="str">
        <f t="shared" si="9"/>
        <v/>
      </c>
      <c r="AI91" s="125" t="str">
        <f t="shared" si="10"/>
        <v/>
      </c>
    </row>
    <row r="92" spans="1:35" s="27" customFormat="1">
      <c r="A92" s="4">
        <v>88</v>
      </c>
      <c r="B92" s="32" t="s">
        <v>55</v>
      </c>
      <c r="C92" s="34"/>
      <c r="D92" s="37" t="s">
        <v>56</v>
      </c>
      <c r="E92" s="35"/>
      <c r="F92" s="24" t="str">
        <f t="shared" si="6"/>
        <v/>
      </c>
      <c r="G92" s="163"/>
      <c r="H92" s="163"/>
      <c r="I92" s="163"/>
      <c r="J92" s="163"/>
      <c r="K92" s="169"/>
      <c r="L92" s="235"/>
      <c r="M92" s="235"/>
      <c r="N92" s="169"/>
      <c r="O92" s="169"/>
      <c r="P92" s="169"/>
      <c r="Q92" s="175"/>
      <c r="R92" s="175"/>
      <c r="S92" s="175"/>
      <c r="T92" s="180"/>
      <c r="U92" s="122"/>
      <c r="V92" s="122"/>
      <c r="W92" s="122"/>
      <c r="X92" s="122"/>
      <c r="Y92" s="184"/>
      <c r="Z92" s="184"/>
      <c r="AA92" s="184"/>
      <c r="AB92" s="184"/>
      <c r="AC92" s="184"/>
      <c r="AD92" s="184"/>
      <c r="AE92" s="184"/>
      <c r="AF92" s="125" t="str">
        <f t="shared" si="7"/>
        <v/>
      </c>
      <c r="AG92" s="125" t="str">
        <f t="shared" si="8"/>
        <v/>
      </c>
      <c r="AH92" s="125" t="str">
        <f t="shared" si="9"/>
        <v/>
      </c>
      <c r="AI92" s="125" t="str">
        <f t="shared" si="10"/>
        <v/>
      </c>
    </row>
    <row r="93" spans="1:35">
      <c r="A93" s="4">
        <v>89</v>
      </c>
      <c r="B93" s="32" t="s">
        <v>55</v>
      </c>
      <c r="C93" s="34"/>
      <c r="D93" s="37" t="s">
        <v>56</v>
      </c>
      <c r="E93" s="35"/>
      <c r="F93" s="24" t="str">
        <f t="shared" si="6"/>
        <v/>
      </c>
      <c r="G93" s="163"/>
      <c r="H93" s="163"/>
      <c r="I93" s="163"/>
      <c r="J93" s="163"/>
      <c r="K93" s="169"/>
      <c r="L93" s="235"/>
      <c r="M93" s="235"/>
      <c r="N93" s="169"/>
      <c r="O93" s="169"/>
      <c r="P93" s="169"/>
      <c r="Q93" s="175"/>
      <c r="R93" s="175"/>
      <c r="S93" s="175"/>
      <c r="T93" s="180"/>
      <c r="U93" s="122"/>
      <c r="V93" s="122"/>
      <c r="W93" s="122"/>
      <c r="X93" s="122"/>
      <c r="Y93" s="184"/>
      <c r="Z93" s="184"/>
      <c r="AA93" s="184"/>
      <c r="AB93" s="184"/>
      <c r="AC93" s="184"/>
      <c r="AD93" s="184"/>
      <c r="AE93" s="184"/>
      <c r="AF93" s="125" t="str">
        <f t="shared" si="7"/>
        <v/>
      </c>
      <c r="AG93" s="125" t="str">
        <f t="shared" si="8"/>
        <v/>
      </c>
      <c r="AH93" s="125" t="str">
        <f t="shared" si="9"/>
        <v/>
      </c>
      <c r="AI93" s="125" t="str">
        <f t="shared" si="10"/>
        <v/>
      </c>
    </row>
    <row r="94" spans="1:35">
      <c r="A94" s="4">
        <v>90</v>
      </c>
      <c r="B94" s="32" t="s">
        <v>55</v>
      </c>
      <c r="C94" s="34"/>
      <c r="D94" s="37" t="s">
        <v>56</v>
      </c>
      <c r="E94" s="35"/>
      <c r="F94" s="24" t="str">
        <f t="shared" si="6"/>
        <v/>
      </c>
      <c r="G94" s="163"/>
      <c r="H94" s="163"/>
      <c r="I94" s="163"/>
      <c r="J94" s="163"/>
      <c r="K94" s="169"/>
      <c r="L94" s="235"/>
      <c r="M94" s="235"/>
      <c r="N94" s="169"/>
      <c r="O94" s="169"/>
      <c r="P94" s="169"/>
      <c r="Q94" s="175"/>
      <c r="R94" s="175"/>
      <c r="S94" s="175"/>
      <c r="T94" s="180"/>
      <c r="U94" s="122"/>
      <c r="V94" s="122"/>
      <c r="W94" s="122"/>
      <c r="X94" s="122"/>
      <c r="Y94" s="184"/>
      <c r="Z94" s="184"/>
      <c r="AA94" s="184"/>
      <c r="AB94" s="184"/>
      <c r="AC94" s="184"/>
      <c r="AD94" s="184"/>
      <c r="AE94" s="184"/>
      <c r="AF94" s="125" t="str">
        <f t="shared" si="7"/>
        <v/>
      </c>
      <c r="AG94" s="125" t="str">
        <f t="shared" si="8"/>
        <v/>
      </c>
      <c r="AH94" s="125" t="str">
        <f t="shared" si="9"/>
        <v/>
      </c>
      <c r="AI94" s="125" t="str">
        <f t="shared" si="10"/>
        <v/>
      </c>
    </row>
    <row r="95" spans="1:35">
      <c r="A95" s="4">
        <v>91</v>
      </c>
      <c r="B95" s="32" t="s">
        <v>55</v>
      </c>
      <c r="C95" s="34"/>
      <c r="D95" s="37" t="s">
        <v>56</v>
      </c>
      <c r="E95" s="35"/>
      <c r="F95" s="24" t="str">
        <f t="shared" si="6"/>
        <v/>
      </c>
      <c r="G95" s="163"/>
      <c r="H95" s="163"/>
      <c r="I95" s="163"/>
      <c r="J95" s="163"/>
      <c r="K95" s="169"/>
      <c r="L95" s="235"/>
      <c r="M95" s="235"/>
      <c r="N95" s="169"/>
      <c r="O95" s="169"/>
      <c r="P95" s="169"/>
      <c r="Q95" s="175"/>
      <c r="R95" s="175"/>
      <c r="S95" s="175"/>
      <c r="T95" s="180"/>
      <c r="U95" s="122"/>
      <c r="V95" s="122"/>
      <c r="W95" s="122"/>
      <c r="X95" s="122"/>
      <c r="Y95" s="184"/>
      <c r="Z95" s="184"/>
      <c r="AA95" s="184"/>
      <c r="AB95" s="184"/>
      <c r="AC95" s="184"/>
      <c r="AD95" s="184"/>
      <c r="AE95" s="184"/>
      <c r="AF95" s="125" t="str">
        <f t="shared" si="7"/>
        <v/>
      </c>
      <c r="AG95" s="125" t="str">
        <f t="shared" si="8"/>
        <v/>
      </c>
      <c r="AH95" s="125" t="str">
        <f t="shared" si="9"/>
        <v/>
      </c>
      <c r="AI95" s="125" t="str">
        <f t="shared" si="10"/>
        <v/>
      </c>
    </row>
    <row r="96" spans="1:35" s="27" customFormat="1">
      <c r="A96" s="4">
        <v>92</v>
      </c>
      <c r="B96" s="32" t="s">
        <v>55</v>
      </c>
      <c r="C96" s="34"/>
      <c r="D96" s="37" t="s">
        <v>56</v>
      </c>
      <c r="E96" s="35"/>
      <c r="F96" s="24" t="str">
        <f t="shared" si="6"/>
        <v/>
      </c>
      <c r="G96" s="163"/>
      <c r="H96" s="163"/>
      <c r="I96" s="163"/>
      <c r="J96" s="163"/>
      <c r="K96" s="169"/>
      <c r="L96" s="235"/>
      <c r="M96" s="235"/>
      <c r="N96" s="169"/>
      <c r="O96" s="169"/>
      <c r="P96" s="169"/>
      <c r="Q96" s="175"/>
      <c r="R96" s="175"/>
      <c r="S96" s="175"/>
      <c r="T96" s="180"/>
      <c r="U96" s="122"/>
      <c r="V96" s="122"/>
      <c r="W96" s="122"/>
      <c r="X96" s="122"/>
      <c r="Y96" s="184"/>
      <c r="Z96" s="184"/>
      <c r="AA96" s="184"/>
      <c r="AB96" s="184"/>
      <c r="AC96" s="184"/>
      <c r="AD96" s="184"/>
      <c r="AE96" s="184"/>
      <c r="AF96" s="125" t="str">
        <f t="shared" si="7"/>
        <v/>
      </c>
      <c r="AG96" s="125" t="str">
        <f t="shared" si="8"/>
        <v/>
      </c>
      <c r="AH96" s="125" t="str">
        <f t="shared" si="9"/>
        <v/>
      </c>
      <c r="AI96" s="125" t="str">
        <f t="shared" si="10"/>
        <v/>
      </c>
    </row>
    <row r="97" spans="1:35">
      <c r="A97" s="4">
        <v>93</v>
      </c>
      <c r="B97" s="32" t="s">
        <v>55</v>
      </c>
      <c r="C97" s="34"/>
      <c r="D97" s="37" t="s">
        <v>56</v>
      </c>
      <c r="E97" s="35"/>
      <c r="F97" s="24" t="str">
        <f t="shared" si="6"/>
        <v/>
      </c>
      <c r="G97" s="163"/>
      <c r="H97" s="163"/>
      <c r="I97" s="163"/>
      <c r="J97" s="163"/>
      <c r="K97" s="169"/>
      <c r="L97" s="235"/>
      <c r="M97" s="235"/>
      <c r="N97" s="169"/>
      <c r="O97" s="169"/>
      <c r="P97" s="169"/>
      <c r="Q97" s="175"/>
      <c r="R97" s="175"/>
      <c r="S97" s="175"/>
      <c r="T97" s="180"/>
      <c r="U97" s="122"/>
      <c r="V97" s="122"/>
      <c r="W97" s="122"/>
      <c r="X97" s="122"/>
      <c r="Y97" s="184"/>
      <c r="Z97" s="184"/>
      <c r="AA97" s="184"/>
      <c r="AB97" s="184"/>
      <c r="AC97" s="184"/>
      <c r="AD97" s="184"/>
      <c r="AE97" s="184"/>
      <c r="AF97" s="125" t="str">
        <f t="shared" si="7"/>
        <v/>
      </c>
      <c r="AG97" s="125" t="str">
        <f t="shared" si="8"/>
        <v/>
      </c>
      <c r="AH97" s="125" t="str">
        <f t="shared" si="9"/>
        <v/>
      </c>
      <c r="AI97" s="125" t="str">
        <f t="shared" si="10"/>
        <v/>
      </c>
    </row>
    <row r="98" spans="1:35">
      <c r="A98" s="4">
        <v>94</v>
      </c>
      <c r="B98" s="32" t="s">
        <v>55</v>
      </c>
      <c r="C98" s="34"/>
      <c r="D98" s="37" t="s">
        <v>56</v>
      </c>
      <c r="E98" s="35"/>
      <c r="F98" s="24" t="str">
        <f t="shared" si="6"/>
        <v/>
      </c>
      <c r="G98" s="163"/>
      <c r="H98" s="163"/>
      <c r="I98" s="163"/>
      <c r="J98" s="163"/>
      <c r="K98" s="169"/>
      <c r="L98" s="235"/>
      <c r="M98" s="235"/>
      <c r="N98" s="169"/>
      <c r="O98" s="169"/>
      <c r="P98" s="169"/>
      <c r="Q98" s="175"/>
      <c r="R98" s="175"/>
      <c r="S98" s="175"/>
      <c r="T98" s="180"/>
      <c r="U98" s="122"/>
      <c r="V98" s="122"/>
      <c r="W98" s="122"/>
      <c r="X98" s="122"/>
      <c r="Y98" s="184"/>
      <c r="Z98" s="184"/>
      <c r="AA98" s="184"/>
      <c r="AB98" s="184"/>
      <c r="AC98" s="184"/>
      <c r="AD98" s="184"/>
      <c r="AE98" s="184"/>
      <c r="AF98" s="125" t="str">
        <f t="shared" si="7"/>
        <v/>
      </c>
      <c r="AG98" s="125" t="str">
        <f t="shared" si="8"/>
        <v/>
      </c>
      <c r="AH98" s="125" t="str">
        <f t="shared" si="9"/>
        <v/>
      </c>
      <c r="AI98" s="125" t="str">
        <f t="shared" si="10"/>
        <v/>
      </c>
    </row>
    <row r="99" spans="1:35" s="27" customFormat="1">
      <c r="A99" s="4">
        <v>95</v>
      </c>
      <c r="B99" s="32" t="s">
        <v>55</v>
      </c>
      <c r="C99" s="34"/>
      <c r="D99" s="37" t="s">
        <v>56</v>
      </c>
      <c r="E99" s="35"/>
      <c r="F99" s="24" t="str">
        <f t="shared" si="6"/>
        <v/>
      </c>
      <c r="G99" s="163"/>
      <c r="H99" s="163"/>
      <c r="I99" s="163"/>
      <c r="J99" s="163"/>
      <c r="K99" s="169"/>
      <c r="L99" s="235"/>
      <c r="M99" s="235"/>
      <c r="N99" s="169"/>
      <c r="O99" s="169"/>
      <c r="P99" s="169"/>
      <c r="Q99" s="175"/>
      <c r="R99" s="175"/>
      <c r="S99" s="175"/>
      <c r="T99" s="180"/>
      <c r="U99" s="122"/>
      <c r="V99" s="122"/>
      <c r="W99" s="122"/>
      <c r="X99" s="122"/>
      <c r="Y99" s="184"/>
      <c r="Z99" s="184"/>
      <c r="AA99" s="184"/>
      <c r="AB99" s="184"/>
      <c r="AC99" s="184"/>
      <c r="AD99" s="184"/>
      <c r="AE99" s="184"/>
      <c r="AF99" s="125" t="str">
        <f t="shared" si="7"/>
        <v/>
      </c>
      <c r="AG99" s="125" t="str">
        <f t="shared" si="8"/>
        <v/>
      </c>
      <c r="AH99" s="125" t="str">
        <f t="shared" si="9"/>
        <v/>
      </c>
      <c r="AI99" s="125" t="str">
        <f t="shared" si="10"/>
        <v/>
      </c>
    </row>
    <row r="100" spans="1:35">
      <c r="A100" s="4">
        <v>96</v>
      </c>
      <c r="B100" s="32" t="s">
        <v>55</v>
      </c>
      <c r="C100" s="34"/>
      <c r="D100" s="37" t="s">
        <v>56</v>
      </c>
      <c r="E100" s="35"/>
      <c r="F100" s="24" t="str">
        <f t="shared" si="6"/>
        <v/>
      </c>
      <c r="G100" s="163"/>
      <c r="H100" s="163"/>
      <c r="I100" s="163"/>
      <c r="J100" s="163"/>
      <c r="K100" s="169"/>
      <c r="L100" s="235"/>
      <c r="M100" s="235"/>
      <c r="N100" s="169"/>
      <c r="O100" s="169"/>
      <c r="P100" s="169"/>
      <c r="Q100" s="175"/>
      <c r="R100" s="175"/>
      <c r="S100" s="175"/>
      <c r="T100" s="180"/>
      <c r="U100" s="122"/>
      <c r="V100" s="122"/>
      <c r="W100" s="122"/>
      <c r="X100" s="122"/>
      <c r="Y100" s="184"/>
      <c r="Z100" s="184"/>
      <c r="AA100" s="184"/>
      <c r="AB100" s="184"/>
      <c r="AC100" s="184"/>
      <c r="AD100" s="184"/>
      <c r="AE100" s="184"/>
      <c r="AF100" s="125" t="str">
        <f t="shared" si="7"/>
        <v/>
      </c>
      <c r="AG100" s="125" t="str">
        <f t="shared" si="8"/>
        <v/>
      </c>
      <c r="AH100" s="125" t="str">
        <f t="shared" si="9"/>
        <v/>
      </c>
      <c r="AI100" s="125" t="str">
        <f t="shared" si="10"/>
        <v/>
      </c>
    </row>
    <row r="101" spans="1:35">
      <c r="A101" s="4">
        <v>97</v>
      </c>
      <c r="B101" s="32" t="s">
        <v>55</v>
      </c>
      <c r="C101" s="34"/>
      <c r="D101" s="37" t="s">
        <v>56</v>
      </c>
      <c r="E101" s="35"/>
      <c r="F101" s="24" t="str">
        <f t="shared" si="6"/>
        <v/>
      </c>
      <c r="G101" s="163"/>
      <c r="H101" s="163"/>
      <c r="I101" s="163"/>
      <c r="J101" s="163"/>
      <c r="K101" s="169"/>
      <c r="L101" s="235"/>
      <c r="M101" s="235"/>
      <c r="N101" s="169"/>
      <c r="O101" s="169"/>
      <c r="P101" s="169"/>
      <c r="Q101" s="175"/>
      <c r="R101" s="175"/>
      <c r="S101" s="175"/>
      <c r="T101" s="180"/>
      <c r="U101" s="122"/>
      <c r="V101" s="122"/>
      <c r="W101" s="122"/>
      <c r="X101" s="122"/>
      <c r="Y101" s="184"/>
      <c r="Z101" s="184"/>
      <c r="AA101" s="184"/>
      <c r="AB101" s="184"/>
      <c r="AC101" s="184"/>
      <c r="AD101" s="184"/>
      <c r="AE101" s="184"/>
      <c r="AF101" s="125" t="str">
        <f t="shared" si="7"/>
        <v/>
      </c>
      <c r="AG101" s="125" t="str">
        <f t="shared" si="8"/>
        <v/>
      </c>
      <c r="AH101" s="125" t="str">
        <f t="shared" si="9"/>
        <v/>
      </c>
      <c r="AI101" s="125" t="str">
        <f t="shared" si="10"/>
        <v/>
      </c>
    </row>
    <row r="102" spans="1:35" s="27" customFormat="1">
      <c r="A102" s="4">
        <v>98</v>
      </c>
      <c r="B102" s="32" t="s">
        <v>55</v>
      </c>
      <c r="C102" s="34"/>
      <c r="D102" s="37" t="s">
        <v>56</v>
      </c>
      <c r="E102" s="35"/>
      <c r="F102" s="24" t="str">
        <f t="shared" ref="F102:F133" si="11">IF(ISBLANK(C102),"",(C102-C101)*$E$4+(E102-E101))</f>
        <v/>
      </c>
      <c r="G102" s="163"/>
      <c r="H102" s="163"/>
      <c r="I102" s="163"/>
      <c r="J102" s="163"/>
      <c r="K102" s="169"/>
      <c r="L102" s="235"/>
      <c r="M102" s="235"/>
      <c r="N102" s="169"/>
      <c r="O102" s="169"/>
      <c r="P102" s="169"/>
      <c r="Q102" s="175"/>
      <c r="R102" s="175"/>
      <c r="S102" s="175"/>
      <c r="T102" s="180"/>
      <c r="U102" s="122"/>
      <c r="V102" s="122"/>
      <c r="W102" s="122"/>
      <c r="X102" s="122"/>
      <c r="Y102" s="184"/>
      <c r="Z102" s="184"/>
      <c r="AA102" s="184"/>
      <c r="AB102" s="184"/>
      <c r="AC102" s="184"/>
      <c r="AD102" s="184"/>
      <c r="AE102" s="184"/>
      <c r="AF102" s="125" t="str">
        <f t="shared" si="7"/>
        <v/>
      </c>
      <c r="AG102" s="125" t="str">
        <f t="shared" si="8"/>
        <v/>
      </c>
      <c r="AH102" s="125" t="str">
        <f t="shared" si="9"/>
        <v/>
      </c>
      <c r="AI102" s="125" t="str">
        <f t="shared" si="10"/>
        <v/>
      </c>
    </row>
    <row r="103" spans="1:35">
      <c r="A103" s="4">
        <v>99</v>
      </c>
      <c r="B103" s="32" t="s">
        <v>55</v>
      </c>
      <c r="C103" s="34"/>
      <c r="D103" s="37" t="s">
        <v>56</v>
      </c>
      <c r="E103" s="35"/>
      <c r="F103" s="24" t="str">
        <f t="shared" si="11"/>
        <v/>
      </c>
      <c r="G103" s="163"/>
      <c r="H103" s="163"/>
      <c r="I103" s="163"/>
      <c r="J103" s="163"/>
      <c r="K103" s="169"/>
      <c r="L103" s="235"/>
      <c r="M103" s="235"/>
      <c r="N103" s="169"/>
      <c r="O103" s="169"/>
      <c r="P103" s="169"/>
      <c r="Q103" s="175"/>
      <c r="R103" s="175"/>
      <c r="S103" s="175"/>
      <c r="T103" s="180"/>
      <c r="U103" s="122"/>
      <c r="V103" s="122"/>
      <c r="W103" s="122"/>
      <c r="X103" s="122"/>
      <c r="Y103" s="184"/>
      <c r="Z103" s="184"/>
      <c r="AA103" s="184"/>
      <c r="AB103" s="184"/>
      <c r="AC103" s="184"/>
      <c r="AD103" s="184"/>
      <c r="AE103" s="184"/>
      <c r="AF103" s="125" t="str">
        <f t="shared" si="7"/>
        <v/>
      </c>
      <c r="AG103" s="125" t="str">
        <f t="shared" si="8"/>
        <v/>
      </c>
      <c r="AH103" s="125" t="str">
        <f t="shared" si="9"/>
        <v/>
      </c>
      <c r="AI103" s="125" t="str">
        <f t="shared" si="10"/>
        <v/>
      </c>
    </row>
    <row r="104" spans="1:35">
      <c r="A104" s="4">
        <v>100</v>
      </c>
      <c r="B104" s="32" t="s">
        <v>55</v>
      </c>
      <c r="C104" s="34"/>
      <c r="D104" s="37" t="s">
        <v>56</v>
      </c>
      <c r="E104" s="35"/>
      <c r="F104" s="24" t="str">
        <f t="shared" si="11"/>
        <v/>
      </c>
      <c r="G104" s="163"/>
      <c r="H104" s="163"/>
      <c r="I104" s="163"/>
      <c r="J104" s="163"/>
      <c r="K104" s="169"/>
      <c r="L104" s="235"/>
      <c r="M104" s="235"/>
      <c r="N104" s="169"/>
      <c r="O104" s="169"/>
      <c r="P104" s="169"/>
      <c r="Q104" s="175"/>
      <c r="R104" s="175"/>
      <c r="S104" s="175"/>
      <c r="T104" s="180"/>
      <c r="U104" s="122"/>
      <c r="V104" s="122"/>
      <c r="W104" s="122"/>
      <c r="X104" s="122"/>
      <c r="Y104" s="184"/>
      <c r="Z104" s="184"/>
      <c r="AA104" s="184"/>
      <c r="AB104" s="184"/>
      <c r="AC104" s="184"/>
      <c r="AD104" s="184"/>
      <c r="AE104" s="184"/>
      <c r="AF104" s="125" t="str">
        <f t="shared" si="7"/>
        <v/>
      </c>
      <c r="AG104" s="125" t="str">
        <f t="shared" si="8"/>
        <v/>
      </c>
      <c r="AH104" s="125" t="str">
        <f t="shared" si="9"/>
        <v/>
      </c>
      <c r="AI104" s="125" t="str">
        <f t="shared" si="10"/>
        <v/>
      </c>
    </row>
    <row r="105" spans="1:35" s="27" customFormat="1">
      <c r="A105" s="4">
        <v>101</v>
      </c>
      <c r="B105" s="32" t="s">
        <v>55</v>
      </c>
      <c r="C105" s="34"/>
      <c r="D105" s="37" t="s">
        <v>56</v>
      </c>
      <c r="E105" s="35"/>
      <c r="F105" s="24" t="str">
        <f t="shared" si="11"/>
        <v/>
      </c>
      <c r="G105" s="163"/>
      <c r="H105" s="163"/>
      <c r="I105" s="163"/>
      <c r="J105" s="163"/>
      <c r="K105" s="169"/>
      <c r="L105" s="235"/>
      <c r="M105" s="235"/>
      <c r="N105" s="169"/>
      <c r="O105" s="169"/>
      <c r="P105" s="169"/>
      <c r="Q105" s="175"/>
      <c r="R105" s="175"/>
      <c r="S105" s="175"/>
      <c r="T105" s="180"/>
      <c r="U105" s="122"/>
      <c r="V105" s="122"/>
      <c r="W105" s="122"/>
      <c r="X105" s="122"/>
      <c r="Y105" s="184"/>
      <c r="Z105" s="184"/>
      <c r="AA105" s="184"/>
      <c r="AB105" s="184"/>
      <c r="AC105" s="184"/>
      <c r="AD105" s="184"/>
      <c r="AE105" s="184"/>
      <c r="AF105" s="125" t="str">
        <f t="shared" si="7"/>
        <v/>
      </c>
      <c r="AG105" s="125" t="str">
        <f t="shared" si="8"/>
        <v/>
      </c>
      <c r="AH105" s="125" t="str">
        <f t="shared" si="9"/>
        <v/>
      </c>
      <c r="AI105" s="125" t="str">
        <f t="shared" si="10"/>
        <v/>
      </c>
    </row>
    <row r="106" spans="1:35">
      <c r="A106" s="4">
        <v>102</v>
      </c>
      <c r="B106" s="32" t="s">
        <v>55</v>
      </c>
      <c r="C106" s="34"/>
      <c r="D106" s="37" t="s">
        <v>56</v>
      </c>
      <c r="E106" s="35"/>
      <c r="F106" s="24" t="str">
        <f t="shared" si="11"/>
        <v/>
      </c>
      <c r="G106" s="163"/>
      <c r="H106" s="163"/>
      <c r="I106" s="163"/>
      <c r="J106" s="163"/>
      <c r="K106" s="169"/>
      <c r="L106" s="235"/>
      <c r="M106" s="235"/>
      <c r="N106" s="169"/>
      <c r="O106" s="169"/>
      <c r="P106" s="169"/>
      <c r="Q106" s="175"/>
      <c r="R106" s="175"/>
      <c r="S106" s="175"/>
      <c r="T106" s="180"/>
      <c r="U106" s="122"/>
      <c r="V106" s="122"/>
      <c r="W106" s="122"/>
      <c r="X106" s="122"/>
      <c r="Y106" s="184"/>
      <c r="Z106" s="184"/>
      <c r="AA106" s="184"/>
      <c r="AB106" s="184"/>
      <c r="AC106" s="184"/>
      <c r="AD106" s="184"/>
      <c r="AE106" s="184"/>
      <c r="AF106" s="125" t="str">
        <f t="shared" si="7"/>
        <v/>
      </c>
      <c r="AG106" s="125" t="str">
        <f t="shared" si="8"/>
        <v/>
      </c>
      <c r="AH106" s="125" t="str">
        <f t="shared" si="9"/>
        <v/>
      </c>
      <c r="AI106" s="125" t="str">
        <f t="shared" si="10"/>
        <v/>
      </c>
    </row>
    <row r="107" spans="1:35">
      <c r="A107" s="4">
        <v>103</v>
      </c>
      <c r="B107" s="32" t="s">
        <v>55</v>
      </c>
      <c r="C107" s="34"/>
      <c r="D107" s="37" t="s">
        <v>56</v>
      </c>
      <c r="E107" s="35"/>
      <c r="F107" s="24" t="str">
        <f t="shared" si="11"/>
        <v/>
      </c>
      <c r="G107" s="163"/>
      <c r="H107" s="163"/>
      <c r="I107" s="163"/>
      <c r="J107" s="163"/>
      <c r="K107" s="169"/>
      <c r="L107" s="235"/>
      <c r="M107" s="235"/>
      <c r="N107" s="169"/>
      <c r="O107" s="169"/>
      <c r="P107" s="169"/>
      <c r="Q107" s="175"/>
      <c r="R107" s="175"/>
      <c r="S107" s="175"/>
      <c r="T107" s="180"/>
      <c r="U107" s="122"/>
      <c r="V107" s="122"/>
      <c r="W107" s="122"/>
      <c r="X107" s="122"/>
      <c r="Y107" s="184"/>
      <c r="Z107" s="184"/>
      <c r="AA107" s="184"/>
      <c r="AB107" s="184"/>
      <c r="AC107" s="184"/>
      <c r="AD107" s="184"/>
      <c r="AE107" s="184"/>
      <c r="AF107" s="125" t="str">
        <f t="shared" si="7"/>
        <v/>
      </c>
      <c r="AG107" s="125" t="str">
        <f t="shared" si="8"/>
        <v/>
      </c>
      <c r="AH107" s="125" t="str">
        <f t="shared" si="9"/>
        <v/>
      </c>
      <c r="AI107" s="125" t="str">
        <f t="shared" si="10"/>
        <v/>
      </c>
    </row>
    <row r="108" spans="1:35">
      <c r="A108" s="4">
        <v>104</v>
      </c>
      <c r="B108" s="32" t="s">
        <v>55</v>
      </c>
      <c r="C108" s="34"/>
      <c r="D108" s="37" t="s">
        <v>56</v>
      </c>
      <c r="E108" s="35"/>
      <c r="F108" s="24" t="str">
        <f t="shared" si="11"/>
        <v/>
      </c>
      <c r="G108" s="163"/>
      <c r="H108" s="163"/>
      <c r="I108" s="163"/>
      <c r="J108" s="163"/>
      <c r="K108" s="169"/>
      <c r="L108" s="235"/>
      <c r="M108" s="235"/>
      <c r="N108" s="169"/>
      <c r="O108" s="169"/>
      <c r="P108" s="169"/>
      <c r="Q108" s="175"/>
      <c r="R108" s="175"/>
      <c r="S108" s="175"/>
      <c r="T108" s="180"/>
      <c r="U108" s="122"/>
      <c r="V108" s="122"/>
      <c r="W108" s="122"/>
      <c r="X108" s="122"/>
      <c r="Y108" s="184"/>
      <c r="Z108" s="184"/>
      <c r="AA108" s="184"/>
      <c r="AB108" s="184"/>
      <c r="AC108" s="184"/>
      <c r="AD108" s="184"/>
      <c r="AE108" s="184"/>
      <c r="AF108" s="125" t="str">
        <f t="shared" si="7"/>
        <v/>
      </c>
      <c r="AG108" s="125" t="str">
        <f t="shared" si="8"/>
        <v/>
      </c>
      <c r="AH108" s="125" t="str">
        <f t="shared" si="9"/>
        <v/>
      </c>
      <c r="AI108" s="125" t="str">
        <f t="shared" si="10"/>
        <v/>
      </c>
    </row>
    <row r="109" spans="1:35" s="27" customFormat="1">
      <c r="A109" s="4">
        <v>105</v>
      </c>
      <c r="B109" s="32" t="s">
        <v>55</v>
      </c>
      <c r="C109" s="34"/>
      <c r="D109" s="37" t="s">
        <v>56</v>
      </c>
      <c r="E109" s="35"/>
      <c r="F109" s="24" t="str">
        <f t="shared" si="11"/>
        <v/>
      </c>
      <c r="G109" s="163"/>
      <c r="H109" s="163"/>
      <c r="I109" s="163"/>
      <c r="J109" s="163"/>
      <c r="K109" s="169"/>
      <c r="L109" s="235"/>
      <c r="M109" s="235"/>
      <c r="N109" s="169"/>
      <c r="O109" s="169"/>
      <c r="P109" s="169"/>
      <c r="Q109" s="175"/>
      <c r="R109" s="175"/>
      <c r="S109" s="175"/>
      <c r="T109" s="180"/>
      <c r="U109" s="122"/>
      <c r="V109" s="122"/>
      <c r="W109" s="122"/>
      <c r="X109" s="122"/>
      <c r="Y109" s="184"/>
      <c r="Z109" s="184"/>
      <c r="AA109" s="184"/>
      <c r="AB109" s="184"/>
      <c r="AC109" s="184"/>
      <c r="AD109" s="184"/>
      <c r="AE109" s="184"/>
      <c r="AF109" s="125" t="str">
        <f t="shared" si="7"/>
        <v/>
      </c>
      <c r="AG109" s="125" t="str">
        <f t="shared" si="8"/>
        <v/>
      </c>
      <c r="AH109" s="125" t="str">
        <f t="shared" si="9"/>
        <v/>
      </c>
      <c r="AI109" s="125" t="str">
        <f t="shared" si="10"/>
        <v/>
      </c>
    </row>
    <row r="110" spans="1:35" s="27" customFormat="1">
      <c r="A110" s="4">
        <v>106</v>
      </c>
      <c r="B110" s="32" t="s">
        <v>55</v>
      </c>
      <c r="C110" s="34"/>
      <c r="D110" s="37" t="s">
        <v>56</v>
      </c>
      <c r="E110" s="35"/>
      <c r="F110" s="24" t="str">
        <f t="shared" si="11"/>
        <v/>
      </c>
      <c r="G110" s="163"/>
      <c r="H110" s="163"/>
      <c r="I110" s="163"/>
      <c r="J110" s="163"/>
      <c r="K110" s="169"/>
      <c r="L110" s="235"/>
      <c r="M110" s="235"/>
      <c r="N110" s="169"/>
      <c r="O110" s="169"/>
      <c r="P110" s="169"/>
      <c r="Q110" s="175"/>
      <c r="R110" s="175"/>
      <c r="S110" s="175"/>
      <c r="T110" s="180"/>
      <c r="U110" s="122"/>
      <c r="V110" s="122"/>
      <c r="W110" s="122"/>
      <c r="X110" s="122"/>
      <c r="Y110" s="184"/>
      <c r="Z110" s="184"/>
      <c r="AA110" s="184"/>
      <c r="AB110" s="184"/>
      <c r="AC110" s="184"/>
      <c r="AD110" s="184"/>
      <c r="AE110" s="184"/>
      <c r="AF110" s="125" t="str">
        <f t="shared" si="7"/>
        <v/>
      </c>
      <c r="AG110" s="125" t="str">
        <f t="shared" si="8"/>
        <v/>
      </c>
      <c r="AH110" s="125" t="str">
        <f t="shared" si="9"/>
        <v/>
      </c>
      <c r="AI110" s="125" t="str">
        <f t="shared" si="10"/>
        <v/>
      </c>
    </row>
    <row r="111" spans="1:35">
      <c r="A111" s="4">
        <v>107</v>
      </c>
      <c r="B111" s="32" t="s">
        <v>55</v>
      </c>
      <c r="C111" s="98"/>
      <c r="D111" s="37" t="s">
        <v>56</v>
      </c>
      <c r="E111" s="99"/>
      <c r="F111" s="24" t="str">
        <f t="shared" si="11"/>
        <v/>
      </c>
      <c r="G111" s="163"/>
      <c r="H111" s="163"/>
      <c r="I111" s="163"/>
      <c r="J111" s="163"/>
      <c r="K111" s="169"/>
      <c r="L111" s="235"/>
      <c r="M111" s="235"/>
      <c r="N111" s="169"/>
      <c r="O111" s="169"/>
      <c r="P111" s="169"/>
      <c r="Q111" s="175"/>
      <c r="R111" s="175"/>
      <c r="S111" s="175"/>
      <c r="T111" s="180"/>
      <c r="U111" s="122"/>
      <c r="V111" s="122"/>
      <c r="W111" s="122"/>
      <c r="X111" s="122"/>
      <c r="Y111" s="184"/>
      <c r="Z111" s="184"/>
      <c r="AA111" s="184"/>
      <c r="AB111" s="184"/>
      <c r="AC111" s="184"/>
      <c r="AD111" s="184"/>
      <c r="AE111" s="184"/>
      <c r="AF111" s="125" t="str">
        <f t="shared" si="7"/>
        <v/>
      </c>
      <c r="AG111" s="125" t="str">
        <f t="shared" si="8"/>
        <v/>
      </c>
      <c r="AH111" s="125" t="str">
        <f t="shared" si="9"/>
        <v/>
      </c>
      <c r="AI111" s="125" t="str">
        <f t="shared" si="10"/>
        <v/>
      </c>
    </row>
    <row r="112" spans="1:35">
      <c r="A112" s="4">
        <v>108</v>
      </c>
      <c r="B112" s="32" t="s">
        <v>55</v>
      </c>
      <c r="C112" s="98"/>
      <c r="D112" s="37" t="s">
        <v>56</v>
      </c>
      <c r="E112" s="99"/>
      <c r="F112" s="24" t="str">
        <f t="shared" si="11"/>
        <v/>
      </c>
      <c r="G112" s="163"/>
      <c r="H112" s="163"/>
      <c r="I112" s="163"/>
      <c r="J112" s="163"/>
      <c r="K112" s="169"/>
      <c r="L112" s="235"/>
      <c r="M112" s="235"/>
      <c r="N112" s="169"/>
      <c r="O112" s="169"/>
      <c r="P112" s="169"/>
      <c r="Q112" s="175"/>
      <c r="R112" s="175"/>
      <c r="S112" s="175"/>
      <c r="T112" s="180"/>
      <c r="U112" s="122"/>
      <c r="V112" s="122"/>
      <c r="W112" s="122"/>
      <c r="X112" s="122"/>
      <c r="Y112" s="184"/>
      <c r="Z112" s="184"/>
      <c r="AA112" s="184"/>
      <c r="AB112" s="184"/>
      <c r="AC112" s="184"/>
      <c r="AD112" s="184"/>
      <c r="AE112" s="184"/>
      <c r="AF112" s="125" t="str">
        <f t="shared" si="7"/>
        <v/>
      </c>
      <c r="AG112" s="125" t="str">
        <f t="shared" si="8"/>
        <v/>
      </c>
      <c r="AH112" s="125" t="str">
        <f t="shared" si="9"/>
        <v/>
      </c>
      <c r="AI112" s="125" t="str">
        <f t="shared" si="10"/>
        <v/>
      </c>
    </row>
    <row r="113" spans="1:35">
      <c r="A113" s="4">
        <v>109</v>
      </c>
      <c r="B113" s="32" t="s">
        <v>55</v>
      </c>
      <c r="C113" s="34"/>
      <c r="D113" s="37" t="s">
        <v>56</v>
      </c>
      <c r="E113" s="35"/>
      <c r="F113" s="24" t="str">
        <f t="shared" si="11"/>
        <v/>
      </c>
      <c r="G113" s="163"/>
      <c r="H113" s="163"/>
      <c r="I113" s="163"/>
      <c r="J113" s="163"/>
      <c r="K113" s="169"/>
      <c r="L113" s="235"/>
      <c r="M113" s="235"/>
      <c r="N113" s="169"/>
      <c r="O113" s="169"/>
      <c r="P113" s="169"/>
      <c r="Q113" s="175"/>
      <c r="R113" s="175"/>
      <c r="S113" s="175"/>
      <c r="T113" s="180"/>
      <c r="U113" s="122"/>
      <c r="V113" s="122"/>
      <c r="W113" s="122"/>
      <c r="X113" s="122"/>
      <c r="Y113" s="184"/>
      <c r="Z113" s="184"/>
      <c r="AA113" s="184"/>
      <c r="AB113" s="184"/>
      <c r="AC113" s="184"/>
      <c r="AD113" s="184"/>
      <c r="AE113" s="184"/>
      <c r="AF113" s="125" t="str">
        <f t="shared" si="7"/>
        <v/>
      </c>
      <c r="AG113" s="125" t="str">
        <f t="shared" si="8"/>
        <v/>
      </c>
      <c r="AH113" s="125" t="str">
        <f t="shared" si="9"/>
        <v/>
      </c>
      <c r="AI113" s="125" t="str">
        <f t="shared" si="10"/>
        <v/>
      </c>
    </row>
    <row r="114" spans="1:35" s="27" customFormat="1">
      <c r="A114" s="4">
        <v>110</v>
      </c>
      <c r="B114" s="32" t="s">
        <v>55</v>
      </c>
      <c r="C114" s="34"/>
      <c r="D114" s="37" t="s">
        <v>56</v>
      </c>
      <c r="E114" s="35"/>
      <c r="F114" s="24" t="str">
        <f t="shared" si="11"/>
        <v/>
      </c>
      <c r="G114" s="163"/>
      <c r="H114" s="163"/>
      <c r="I114" s="163"/>
      <c r="J114" s="163"/>
      <c r="K114" s="169"/>
      <c r="L114" s="235"/>
      <c r="M114" s="235"/>
      <c r="N114" s="169"/>
      <c r="O114" s="169"/>
      <c r="P114" s="169"/>
      <c r="Q114" s="175"/>
      <c r="R114" s="175"/>
      <c r="S114" s="175"/>
      <c r="T114" s="180"/>
      <c r="U114" s="122"/>
      <c r="V114" s="122"/>
      <c r="W114" s="122"/>
      <c r="X114" s="122"/>
      <c r="Y114" s="184"/>
      <c r="Z114" s="184"/>
      <c r="AA114" s="184"/>
      <c r="AB114" s="184"/>
      <c r="AC114" s="184"/>
      <c r="AD114" s="184"/>
      <c r="AE114" s="184"/>
      <c r="AF114" s="125" t="str">
        <f t="shared" si="7"/>
        <v/>
      </c>
      <c r="AG114" s="125" t="str">
        <f t="shared" si="8"/>
        <v/>
      </c>
      <c r="AH114" s="125" t="str">
        <f t="shared" si="9"/>
        <v/>
      </c>
      <c r="AI114" s="125" t="str">
        <f t="shared" si="10"/>
        <v/>
      </c>
    </row>
    <row r="115" spans="1:35">
      <c r="A115" s="4">
        <v>111</v>
      </c>
      <c r="B115" s="32" t="s">
        <v>55</v>
      </c>
      <c r="C115" s="34"/>
      <c r="D115" s="37" t="s">
        <v>56</v>
      </c>
      <c r="E115" s="35"/>
      <c r="F115" s="24" t="str">
        <f t="shared" si="11"/>
        <v/>
      </c>
      <c r="G115" s="163"/>
      <c r="H115" s="163"/>
      <c r="I115" s="163"/>
      <c r="J115" s="163"/>
      <c r="K115" s="169"/>
      <c r="L115" s="235"/>
      <c r="M115" s="235"/>
      <c r="N115" s="169"/>
      <c r="O115" s="169"/>
      <c r="P115" s="169"/>
      <c r="Q115" s="175"/>
      <c r="R115" s="175"/>
      <c r="S115" s="175"/>
      <c r="T115" s="180"/>
      <c r="U115" s="122"/>
      <c r="V115" s="122"/>
      <c r="W115" s="122"/>
      <c r="X115" s="122"/>
      <c r="Y115" s="184"/>
      <c r="Z115" s="184"/>
      <c r="AA115" s="184"/>
      <c r="AB115" s="184"/>
      <c r="AC115" s="184"/>
      <c r="AD115" s="184"/>
      <c r="AE115" s="184"/>
      <c r="AF115" s="125" t="str">
        <f t="shared" si="7"/>
        <v/>
      </c>
      <c r="AG115" s="125" t="str">
        <f t="shared" si="8"/>
        <v/>
      </c>
      <c r="AH115" s="125" t="str">
        <f t="shared" si="9"/>
        <v/>
      </c>
      <c r="AI115" s="125" t="str">
        <f t="shared" si="10"/>
        <v/>
      </c>
    </row>
    <row r="116" spans="1:35">
      <c r="A116" s="4">
        <v>112</v>
      </c>
      <c r="B116" s="32" t="s">
        <v>55</v>
      </c>
      <c r="C116" s="34"/>
      <c r="D116" s="37" t="s">
        <v>56</v>
      </c>
      <c r="E116" s="35"/>
      <c r="F116" s="24" t="str">
        <f t="shared" si="11"/>
        <v/>
      </c>
      <c r="G116" s="163"/>
      <c r="H116" s="163"/>
      <c r="I116" s="163"/>
      <c r="J116" s="163"/>
      <c r="K116" s="169"/>
      <c r="L116" s="235"/>
      <c r="M116" s="235"/>
      <c r="N116" s="169"/>
      <c r="O116" s="169"/>
      <c r="P116" s="169"/>
      <c r="Q116" s="175"/>
      <c r="R116" s="175"/>
      <c r="S116" s="175"/>
      <c r="T116" s="180"/>
      <c r="U116" s="122"/>
      <c r="V116" s="122"/>
      <c r="W116" s="122"/>
      <c r="X116" s="122"/>
      <c r="Y116" s="184"/>
      <c r="Z116" s="184"/>
      <c r="AA116" s="184"/>
      <c r="AB116" s="184"/>
      <c r="AC116" s="184"/>
      <c r="AD116" s="184"/>
      <c r="AE116" s="184"/>
      <c r="AF116" s="125" t="str">
        <f t="shared" si="7"/>
        <v/>
      </c>
      <c r="AG116" s="125" t="str">
        <f t="shared" si="8"/>
        <v/>
      </c>
      <c r="AH116" s="125" t="str">
        <f t="shared" si="9"/>
        <v/>
      </c>
      <c r="AI116" s="125" t="str">
        <f t="shared" si="10"/>
        <v/>
      </c>
    </row>
    <row r="117" spans="1:35">
      <c r="A117" s="4">
        <v>113</v>
      </c>
      <c r="B117" s="32" t="s">
        <v>55</v>
      </c>
      <c r="C117" s="34"/>
      <c r="D117" s="37" t="s">
        <v>56</v>
      </c>
      <c r="E117" s="35"/>
      <c r="F117" s="24" t="str">
        <f t="shared" si="11"/>
        <v/>
      </c>
      <c r="G117" s="163"/>
      <c r="H117" s="163"/>
      <c r="I117" s="163"/>
      <c r="J117" s="163"/>
      <c r="K117" s="169"/>
      <c r="L117" s="235"/>
      <c r="M117" s="235"/>
      <c r="N117" s="169"/>
      <c r="O117" s="169"/>
      <c r="P117" s="169"/>
      <c r="Q117" s="175"/>
      <c r="R117" s="175"/>
      <c r="S117" s="175"/>
      <c r="T117" s="180"/>
      <c r="U117" s="122"/>
      <c r="V117" s="122"/>
      <c r="W117" s="122"/>
      <c r="X117" s="122"/>
      <c r="Y117" s="184"/>
      <c r="Z117" s="184"/>
      <c r="AA117" s="184"/>
      <c r="AB117" s="184"/>
      <c r="AC117" s="184"/>
      <c r="AD117" s="184"/>
      <c r="AE117" s="184"/>
      <c r="AF117" s="125" t="str">
        <f t="shared" si="7"/>
        <v/>
      </c>
      <c r="AG117" s="125" t="str">
        <f t="shared" si="8"/>
        <v/>
      </c>
      <c r="AH117" s="125" t="str">
        <f t="shared" si="9"/>
        <v/>
      </c>
      <c r="AI117" s="125" t="str">
        <f t="shared" si="10"/>
        <v/>
      </c>
    </row>
    <row r="118" spans="1:35">
      <c r="A118" s="4">
        <v>114</v>
      </c>
      <c r="B118" s="32" t="s">
        <v>55</v>
      </c>
      <c r="C118" s="34"/>
      <c r="D118" s="37" t="s">
        <v>56</v>
      </c>
      <c r="E118" s="35"/>
      <c r="F118" s="24" t="str">
        <f t="shared" si="11"/>
        <v/>
      </c>
      <c r="G118" s="163"/>
      <c r="H118" s="163"/>
      <c r="I118" s="163"/>
      <c r="J118" s="163"/>
      <c r="K118" s="169"/>
      <c r="L118" s="235"/>
      <c r="M118" s="235"/>
      <c r="N118" s="169"/>
      <c r="O118" s="169"/>
      <c r="P118" s="169"/>
      <c r="Q118" s="175"/>
      <c r="R118" s="175"/>
      <c r="S118" s="175"/>
      <c r="T118" s="180"/>
      <c r="U118" s="122"/>
      <c r="V118" s="122"/>
      <c r="W118" s="122"/>
      <c r="X118" s="122"/>
      <c r="Y118" s="184"/>
      <c r="Z118" s="184"/>
      <c r="AA118" s="184"/>
      <c r="AB118" s="184"/>
      <c r="AC118" s="184"/>
      <c r="AD118" s="184"/>
      <c r="AE118" s="184"/>
      <c r="AF118" s="125" t="str">
        <f t="shared" si="7"/>
        <v/>
      </c>
      <c r="AG118" s="125" t="str">
        <f t="shared" si="8"/>
        <v/>
      </c>
      <c r="AH118" s="125" t="str">
        <f t="shared" si="9"/>
        <v/>
      </c>
      <c r="AI118" s="125" t="str">
        <f t="shared" si="10"/>
        <v/>
      </c>
    </row>
    <row r="119" spans="1:35">
      <c r="A119" s="4">
        <v>115</v>
      </c>
      <c r="B119" s="32" t="s">
        <v>55</v>
      </c>
      <c r="C119" s="34"/>
      <c r="D119" s="37" t="s">
        <v>56</v>
      </c>
      <c r="E119" s="35"/>
      <c r="F119" s="24" t="str">
        <f t="shared" si="11"/>
        <v/>
      </c>
      <c r="G119" s="163"/>
      <c r="H119" s="163"/>
      <c r="I119" s="163"/>
      <c r="J119" s="163"/>
      <c r="K119" s="169"/>
      <c r="L119" s="235"/>
      <c r="M119" s="235"/>
      <c r="N119" s="169"/>
      <c r="O119" s="169"/>
      <c r="P119" s="169"/>
      <c r="Q119" s="175"/>
      <c r="R119" s="175"/>
      <c r="S119" s="175"/>
      <c r="T119" s="180"/>
      <c r="U119" s="122"/>
      <c r="V119" s="122"/>
      <c r="W119" s="122"/>
      <c r="X119" s="122"/>
      <c r="Y119" s="184"/>
      <c r="Z119" s="184"/>
      <c r="AA119" s="184"/>
      <c r="AB119" s="184"/>
      <c r="AC119" s="184"/>
      <c r="AD119" s="184"/>
      <c r="AE119" s="184"/>
      <c r="AF119" s="125" t="str">
        <f t="shared" si="7"/>
        <v/>
      </c>
      <c r="AG119" s="125" t="str">
        <f t="shared" si="8"/>
        <v/>
      </c>
      <c r="AH119" s="125" t="str">
        <f t="shared" si="9"/>
        <v/>
      </c>
      <c r="AI119" s="125" t="str">
        <f t="shared" si="10"/>
        <v/>
      </c>
    </row>
    <row r="120" spans="1:35" s="27" customFormat="1">
      <c r="A120" s="4">
        <v>116</v>
      </c>
      <c r="B120" s="32" t="s">
        <v>55</v>
      </c>
      <c r="C120" s="34"/>
      <c r="D120" s="37" t="s">
        <v>56</v>
      </c>
      <c r="E120" s="35"/>
      <c r="F120" s="24" t="str">
        <f t="shared" si="11"/>
        <v/>
      </c>
      <c r="G120" s="163"/>
      <c r="H120" s="163"/>
      <c r="I120" s="163"/>
      <c r="J120" s="163"/>
      <c r="K120" s="169"/>
      <c r="L120" s="235"/>
      <c r="M120" s="235"/>
      <c r="N120" s="169"/>
      <c r="O120" s="169"/>
      <c r="P120" s="169"/>
      <c r="Q120" s="175"/>
      <c r="R120" s="175"/>
      <c r="S120" s="175"/>
      <c r="T120" s="180"/>
      <c r="U120" s="122"/>
      <c r="V120" s="122"/>
      <c r="W120" s="122"/>
      <c r="X120" s="122"/>
      <c r="Y120" s="184"/>
      <c r="Z120" s="184"/>
      <c r="AA120" s="184"/>
      <c r="AB120" s="184"/>
      <c r="AC120" s="184"/>
      <c r="AD120" s="184"/>
      <c r="AE120" s="184"/>
      <c r="AF120" s="125" t="str">
        <f t="shared" si="7"/>
        <v/>
      </c>
      <c r="AG120" s="125" t="str">
        <f t="shared" si="8"/>
        <v/>
      </c>
      <c r="AH120" s="125" t="str">
        <f t="shared" si="9"/>
        <v/>
      </c>
      <c r="AI120" s="125" t="str">
        <f t="shared" si="10"/>
        <v/>
      </c>
    </row>
    <row r="121" spans="1:35">
      <c r="A121" s="4">
        <v>117</v>
      </c>
      <c r="B121" s="32" t="s">
        <v>55</v>
      </c>
      <c r="C121" s="34"/>
      <c r="D121" s="37" t="s">
        <v>56</v>
      </c>
      <c r="E121" s="35"/>
      <c r="F121" s="24" t="str">
        <f t="shared" si="11"/>
        <v/>
      </c>
      <c r="G121" s="163"/>
      <c r="H121" s="163"/>
      <c r="I121" s="163"/>
      <c r="J121" s="163"/>
      <c r="K121" s="169"/>
      <c r="L121" s="235"/>
      <c r="M121" s="235"/>
      <c r="N121" s="169"/>
      <c r="O121" s="169"/>
      <c r="P121" s="169"/>
      <c r="Q121" s="175"/>
      <c r="R121" s="175"/>
      <c r="S121" s="175"/>
      <c r="T121" s="180"/>
      <c r="U121" s="122"/>
      <c r="V121" s="122"/>
      <c r="W121" s="122"/>
      <c r="X121" s="122"/>
      <c r="Y121" s="184"/>
      <c r="Z121" s="184"/>
      <c r="AA121" s="184"/>
      <c r="AB121" s="184"/>
      <c r="AC121" s="184"/>
      <c r="AD121" s="184"/>
      <c r="AE121" s="184"/>
      <c r="AF121" s="125" t="str">
        <f t="shared" si="7"/>
        <v/>
      </c>
      <c r="AG121" s="125" t="str">
        <f t="shared" si="8"/>
        <v/>
      </c>
      <c r="AH121" s="125" t="str">
        <f t="shared" si="9"/>
        <v/>
      </c>
      <c r="AI121" s="125" t="str">
        <f t="shared" si="10"/>
        <v/>
      </c>
    </row>
    <row r="122" spans="1:35">
      <c r="A122" s="4">
        <v>118</v>
      </c>
      <c r="B122" s="32" t="s">
        <v>55</v>
      </c>
      <c r="C122" s="34"/>
      <c r="D122" s="37" t="s">
        <v>56</v>
      </c>
      <c r="E122" s="35"/>
      <c r="F122" s="24" t="str">
        <f t="shared" si="11"/>
        <v/>
      </c>
      <c r="G122" s="163"/>
      <c r="H122" s="163"/>
      <c r="I122" s="163"/>
      <c r="J122" s="163"/>
      <c r="K122" s="169"/>
      <c r="L122" s="235"/>
      <c r="M122" s="235"/>
      <c r="N122" s="169"/>
      <c r="O122" s="169"/>
      <c r="P122" s="169"/>
      <c r="Q122" s="175"/>
      <c r="R122" s="175"/>
      <c r="S122" s="175"/>
      <c r="T122" s="180"/>
      <c r="U122" s="122"/>
      <c r="V122" s="122"/>
      <c r="W122" s="122"/>
      <c r="X122" s="122"/>
      <c r="Y122" s="184"/>
      <c r="Z122" s="184"/>
      <c r="AA122" s="184"/>
      <c r="AB122" s="184"/>
      <c r="AC122" s="184"/>
      <c r="AD122" s="184"/>
      <c r="AE122" s="184"/>
      <c r="AF122" s="125" t="str">
        <f t="shared" si="7"/>
        <v/>
      </c>
      <c r="AG122" s="125" t="str">
        <f t="shared" si="8"/>
        <v/>
      </c>
      <c r="AH122" s="125" t="str">
        <f t="shared" si="9"/>
        <v/>
      </c>
      <c r="AI122" s="125" t="str">
        <f t="shared" si="10"/>
        <v/>
      </c>
    </row>
    <row r="123" spans="1:35">
      <c r="A123" s="4">
        <v>119</v>
      </c>
      <c r="B123" s="32" t="s">
        <v>55</v>
      </c>
      <c r="C123" s="34"/>
      <c r="D123" s="37" t="s">
        <v>56</v>
      </c>
      <c r="E123" s="35"/>
      <c r="F123" s="24" t="str">
        <f t="shared" si="11"/>
        <v/>
      </c>
      <c r="G123" s="163"/>
      <c r="H123" s="163"/>
      <c r="I123" s="163"/>
      <c r="J123" s="163"/>
      <c r="K123" s="169"/>
      <c r="L123" s="235"/>
      <c r="M123" s="235"/>
      <c r="N123" s="169"/>
      <c r="O123" s="169"/>
      <c r="P123" s="169"/>
      <c r="Q123" s="175"/>
      <c r="R123" s="175"/>
      <c r="S123" s="175"/>
      <c r="T123" s="180"/>
      <c r="U123" s="122"/>
      <c r="V123" s="122"/>
      <c r="W123" s="122"/>
      <c r="X123" s="122"/>
      <c r="Y123" s="184"/>
      <c r="Z123" s="184"/>
      <c r="AA123" s="184"/>
      <c r="AB123" s="184"/>
      <c r="AC123" s="184"/>
      <c r="AD123" s="184"/>
      <c r="AE123" s="184"/>
      <c r="AF123" s="125" t="str">
        <f t="shared" si="7"/>
        <v/>
      </c>
      <c r="AG123" s="125" t="str">
        <f t="shared" si="8"/>
        <v/>
      </c>
      <c r="AH123" s="125" t="str">
        <f t="shared" si="9"/>
        <v/>
      </c>
      <c r="AI123" s="125" t="str">
        <f t="shared" si="10"/>
        <v/>
      </c>
    </row>
    <row r="124" spans="1:35" s="27" customFormat="1">
      <c r="A124" s="4">
        <v>120</v>
      </c>
      <c r="B124" s="32" t="s">
        <v>55</v>
      </c>
      <c r="C124" s="98"/>
      <c r="D124" s="37" t="s">
        <v>56</v>
      </c>
      <c r="E124" s="99"/>
      <c r="F124" s="24" t="str">
        <f t="shared" si="11"/>
        <v/>
      </c>
      <c r="G124" s="163"/>
      <c r="H124" s="163"/>
      <c r="I124" s="163"/>
      <c r="J124" s="163"/>
      <c r="K124" s="169"/>
      <c r="L124" s="235"/>
      <c r="M124" s="235"/>
      <c r="N124" s="169"/>
      <c r="O124" s="169"/>
      <c r="P124" s="169"/>
      <c r="Q124" s="175"/>
      <c r="R124" s="175"/>
      <c r="S124" s="175"/>
      <c r="T124" s="180"/>
      <c r="U124" s="122"/>
      <c r="V124" s="122"/>
      <c r="W124" s="122"/>
      <c r="X124" s="122"/>
      <c r="Y124" s="184"/>
      <c r="Z124" s="184"/>
      <c r="AA124" s="184"/>
      <c r="AB124" s="184"/>
      <c r="AC124" s="184"/>
      <c r="AD124" s="184"/>
      <c r="AE124" s="184"/>
      <c r="AF124" s="125" t="str">
        <f t="shared" si="7"/>
        <v/>
      </c>
      <c r="AG124" s="125" t="str">
        <f t="shared" si="8"/>
        <v/>
      </c>
      <c r="AH124" s="125" t="str">
        <f t="shared" si="9"/>
        <v/>
      </c>
      <c r="AI124" s="125" t="str">
        <f t="shared" si="10"/>
        <v/>
      </c>
    </row>
    <row r="125" spans="1:35">
      <c r="A125" s="4">
        <v>121</v>
      </c>
      <c r="B125" s="32" t="s">
        <v>55</v>
      </c>
      <c r="C125" s="98"/>
      <c r="D125" s="37" t="s">
        <v>56</v>
      </c>
      <c r="E125" s="99"/>
      <c r="F125" s="24" t="str">
        <f t="shared" si="11"/>
        <v/>
      </c>
      <c r="G125" s="163"/>
      <c r="H125" s="163"/>
      <c r="I125" s="163"/>
      <c r="J125" s="163"/>
      <c r="K125" s="169"/>
      <c r="L125" s="235"/>
      <c r="M125" s="235"/>
      <c r="N125" s="169"/>
      <c r="O125" s="169"/>
      <c r="P125" s="169"/>
      <c r="Q125" s="175"/>
      <c r="R125" s="175"/>
      <c r="S125" s="175"/>
      <c r="T125" s="180"/>
      <c r="U125" s="122"/>
      <c r="V125" s="122"/>
      <c r="W125" s="122"/>
      <c r="X125" s="122"/>
      <c r="Y125" s="184"/>
      <c r="Z125" s="184"/>
      <c r="AA125" s="184"/>
      <c r="AB125" s="184"/>
      <c r="AC125" s="184"/>
      <c r="AD125" s="184"/>
      <c r="AE125" s="184"/>
      <c r="AF125" s="125" t="str">
        <f t="shared" si="7"/>
        <v/>
      </c>
      <c r="AG125" s="125" t="str">
        <f t="shared" si="8"/>
        <v/>
      </c>
      <c r="AH125" s="125" t="str">
        <f t="shared" si="9"/>
        <v/>
      </c>
      <c r="AI125" s="125" t="str">
        <f t="shared" si="10"/>
        <v/>
      </c>
    </row>
    <row r="126" spans="1:35">
      <c r="A126" s="4">
        <v>122</v>
      </c>
      <c r="B126" s="32" t="s">
        <v>55</v>
      </c>
      <c r="C126" s="34"/>
      <c r="D126" s="37" t="s">
        <v>56</v>
      </c>
      <c r="E126" s="35"/>
      <c r="F126" s="24" t="str">
        <f t="shared" si="11"/>
        <v/>
      </c>
      <c r="G126" s="163"/>
      <c r="H126" s="163"/>
      <c r="I126" s="163"/>
      <c r="J126" s="163"/>
      <c r="K126" s="169"/>
      <c r="L126" s="235"/>
      <c r="M126" s="235"/>
      <c r="N126" s="169"/>
      <c r="O126" s="169"/>
      <c r="P126" s="169"/>
      <c r="Q126" s="175"/>
      <c r="R126" s="175"/>
      <c r="S126" s="175"/>
      <c r="T126" s="180"/>
      <c r="U126" s="122"/>
      <c r="V126" s="122"/>
      <c r="W126" s="122"/>
      <c r="X126" s="122"/>
      <c r="Y126" s="184"/>
      <c r="Z126" s="184"/>
      <c r="AA126" s="184"/>
      <c r="AB126" s="184"/>
      <c r="AC126" s="184"/>
      <c r="AD126" s="184"/>
      <c r="AE126" s="184"/>
      <c r="AF126" s="125" t="str">
        <f t="shared" si="7"/>
        <v/>
      </c>
      <c r="AG126" s="125" t="str">
        <f t="shared" si="8"/>
        <v/>
      </c>
      <c r="AH126" s="125" t="str">
        <f t="shared" si="9"/>
        <v/>
      </c>
      <c r="AI126" s="125" t="str">
        <f t="shared" si="10"/>
        <v/>
      </c>
    </row>
    <row r="127" spans="1:35">
      <c r="A127" s="4">
        <v>123</v>
      </c>
      <c r="B127" s="32" t="s">
        <v>55</v>
      </c>
      <c r="C127" s="34"/>
      <c r="D127" s="37" t="s">
        <v>56</v>
      </c>
      <c r="E127" s="35"/>
      <c r="F127" s="24" t="str">
        <f t="shared" si="11"/>
        <v/>
      </c>
      <c r="G127" s="163"/>
      <c r="H127" s="163"/>
      <c r="I127" s="163"/>
      <c r="J127" s="163"/>
      <c r="K127" s="169"/>
      <c r="L127" s="235"/>
      <c r="M127" s="235"/>
      <c r="N127" s="169"/>
      <c r="O127" s="169"/>
      <c r="P127" s="169"/>
      <c r="Q127" s="175"/>
      <c r="R127" s="175"/>
      <c r="S127" s="175"/>
      <c r="T127" s="180"/>
      <c r="U127" s="122"/>
      <c r="V127" s="122"/>
      <c r="W127" s="122"/>
      <c r="X127" s="122"/>
      <c r="Y127" s="184"/>
      <c r="Z127" s="184"/>
      <c r="AA127" s="184"/>
      <c r="AB127" s="184"/>
      <c r="AC127" s="184"/>
      <c r="AD127" s="184"/>
      <c r="AE127" s="184"/>
      <c r="AF127" s="125" t="str">
        <f t="shared" si="7"/>
        <v/>
      </c>
      <c r="AG127" s="125" t="str">
        <f t="shared" si="8"/>
        <v/>
      </c>
      <c r="AH127" s="125" t="str">
        <f t="shared" si="9"/>
        <v/>
      </c>
      <c r="AI127" s="125" t="str">
        <f t="shared" si="10"/>
        <v/>
      </c>
    </row>
    <row r="128" spans="1:35">
      <c r="A128" s="4">
        <v>124</v>
      </c>
      <c r="B128" s="32" t="s">
        <v>55</v>
      </c>
      <c r="C128" s="34"/>
      <c r="D128" s="37" t="s">
        <v>56</v>
      </c>
      <c r="E128" s="35"/>
      <c r="F128" s="24" t="str">
        <f t="shared" si="11"/>
        <v/>
      </c>
      <c r="G128" s="163"/>
      <c r="H128" s="163"/>
      <c r="I128" s="163"/>
      <c r="J128" s="163"/>
      <c r="K128" s="169"/>
      <c r="L128" s="235"/>
      <c r="M128" s="235"/>
      <c r="N128" s="169"/>
      <c r="O128" s="169"/>
      <c r="P128" s="169"/>
      <c r="Q128" s="175"/>
      <c r="R128" s="175"/>
      <c r="S128" s="175"/>
      <c r="T128" s="180"/>
      <c r="U128" s="122"/>
      <c r="V128" s="122"/>
      <c r="W128" s="122"/>
      <c r="X128" s="122"/>
      <c r="Y128" s="184"/>
      <c r="Z128" s="184"/>
      <c r="AA128" s="184"/>
      <c r="AB128" s="184"/>
      <c r="AC128" s="184"/>
      <c r="AD128" s="184"/>
      <c r="AE128" s="184"/>
      <c r="AF128" s="125" t="str">
        <f t="shared" si="7"/>
        <v/>
      </c>
      <c r="AG128" s="125" t="str">
        <f t="shared" si="8"/>
        <v/>
      </c>
      <c r="AH128" s="125" t="str">
        <f t="shared" si="9"/>
        <v/>
      </c>
      <c r="AI128" s="125" t="str">
        <f t="shared" si="10"/>
        <v/>
      </c>
    </row>
    <row r="129" spans="1:35">
      <c r="A129" s="4">
        <v>125</v>
      </c>
      <c r="B129" s="32" t="s">
        <v>55</v>
      </c>
      <c r="C129" s="34"/>
      <c r="D129" s="37" t="s">
        <v>56</v>
      </c>
      <c r="E129" s="35"/>
      <c r="F129" s="24" t="str">
        <f t="shared" si="11"/>
        <v/>
      </c>
      <c r="G129" s="163"/>
      <c r="H129" s="163"/>
      <c r="I129" s="163"/>
      <c r="J129" s="163"/>
      <c r="K129" s="169"/>
      <c r="L129" s="235"/>
      <c r="M129" s="235"/>
      <c r="N129" s="169"/>
      <c r="O129" s="169"/>
      <c r="P129" s="169"/>
      <c r="Q129" s="175"/>
      <c r="R129" s="175"/>
      <c r="S129" s="175"/>
      <c r="T129" s="180"/>
      <c r="U129" s="122"/>
      <c r="V129" s="122"/>
      <c r="W129" s="122"/>
      <c r="X129" s="122"/>
      <c r="Y129" s="184"/>
      <c r="Z129" s="184"/>
      <c r="AA129" s="184"/>
      <c r="AB129" s="184"/>
      <c r="AC129" s="184"/>
      <c r="AD129" s="184"/>
      <c r="AE129" s="184"/>
      <c r="AF129" s="125" t="str">
        <f t="shared" si="7"/>
        <v/>
      </c>
      <c r="AG129" s="125" t="str">
        <f t="shared" si="8"/>
        <v/>
      </c>
      <c r="AH129" s="125" t="str">
        <f t="shared" si="9"/>
        <v/>
      </c>
      <c r="AI129" s="125" t="str">
        <f t="shared" si="10"/>
        <v/>
      </c>
    </row>
    <row r="130" spans="1:35" s="27" customFormat="1">
      <c r="A130" s="4">
        <v>126</v>
      </c>
      <c r="B130" s="32" t="s">
        <v>55</v>
      </c>
      <c r="C130" s="34"/>
      <c r="D130" s="37" t="s">
        <v>56</v>
      </c>
      <c r="E130" s="35"/>
      <c r="F130" s="24" t="str">
        <f t="shared" si="11"/>
        <v/>
      </c>
      <c r="G130" s="163"/>
      <c r="H130" s="163"/>
      <c r="I130" s="163"/>
      <c r="J130" s="163"/>
      <c r="K130" s="169"/>
      <c r="L130" s="235"/>
      <c r="M130" s="235"/>
      <c r="N130" s="169"/>
      <c r="O130" s="169"/>
      <c r="P130" s="169"/>
      <c r="Q130" s="175"/>
      <c r="R130" s="175"/>
      <c r="S130" s="175"/>
      <c r="T130" s="180"/>
      <c r="U130" s="122"/>
      <c r="V130" s="122"/>
      <c r="W130" s="122"/>
      <c r="X130" s="122"/>
      <c r="Y130" s="184"/>
      <c r="Z130" s="184"/>
      <c r="AA130" s="184"/>
      <c r="AB130" s="184"/>
      <c r="AC130" s="184"/>
      <c r="AD130" s="184"/>
      <c r="AE130" s="184"/>
      <c r="AF130" s="125" t="str">
        <f t="shared" si="7"/>
        <v/>
      </c>
      <c r="AG130" s="125" t="str">
        <f t="shared" si="8"/>
        <v/>
      </c>
      <c r="AH130" s="125" t="str">
        <f t="shared" si="9"/>
        <v/>
      </c>
      <c r="AI130" s="125" t="str">
        <f t="shared" si="10"/>
        <v/>
      </c>
    </row>
    <row r="131" spans="1:35">
      <c r="A131" s="4">
        <v>127</v>
      </c>
      <c r="B131" s="32" t="s">
        <v>55</v>
      </c>
      <c r="C131" s="34"/>
      <c r="D131" s="37" t="s">
        <v>56</v>
      </c>
      <c r="E131" s="35"/>
      <c r="F131" s="24" t="str">
        <f t="shared" si="11"/>
        <v/>
      </c>
      <c r="G131" s="163"/>
      <c r="H131" s="163"/>
      <c r="I131" s="163"/>
      <c r="J131" s="163"/>
      <c r="K131" s="169"/>
      <c r="L131" s="235"/>
      <c r="M131" s="235"/>
      <c r="N131" s="169"/>
      <c r="O131" s="169"/>
      <c r="P131" s="169"/>
      <c r="Q131" s="175"/>
      <c r="R131" s="175"/>
      <c r="S131" s="175"/>
      <c r="T131" s="180"/>
      <c r="U131" s="122"/>
      <c r="V131" s="122"/>
      <c r="W131" s="122"/>
      <c r="X131" s="122"/>
      <c r="Y131" s="184"/>
      <c r="Z131" s="184"/>
      <c r="AA131" s="184"/>
      <c r="AB131" s="184"/>
      <c r="AC131" s="184"/>
      <c r="AD131" s="184"/>
      <c r="AE131" s="184"/>
      <c r="AF131" s="125" t="str">
        <f t="shared" si="7"/>
        <v/>
      </c>
      <c r="AG131" s="125" t="str">
        <f t="shared" si="8"/>
        <v/>
      </c>
      <c r="AH131" s="125" t="str">
        <f t="shared" si="9"/>
        <v/>
      </c>
      <c r="AI131" s="125" t="str">
        <f t="shared" si="10"/>
        <v/>
      </c>
    </row>
    <row r="132" spans="1:35">
      <c r="A132" s="4">
        <v>128</v>
      </c>
      <c r="B132" s="32" t="s">
        <v>55</v>
      </c>
      <c r="C132" s="34"/>
      <c r="D132" s="37" t="s">
        <v>56</v>
      </c>
      <c r="E132" s="35"/>
      <c r="F132" s="24" t="str">
        <f t="shared" si="11"/>
        <v/>
      </c>
      <c r="G132" s="163"/>
      <c r="H132" s="163"/>
      <c r="I132" s="163"/>
      <c r="J132" s="163"/>
      <c r="K132" s="169"/>
      <c r="L132" s="235"/>
      <c r="M132" s="235"/>
      <c r="N132" s="169"/>
      <c r="O132" s="169"/>
      <c r="P132" s="169"/>
      <c r="Q132" s="175"/>
      <c r="R132" s="175"/>
      <c r="S132" s="175"/>
      <c r="T132" s="180"/>
      <c r="U132" s="122"/>
      <c r="V132" s="122"/>
      <c r="W132" s="122"/>
      <c r="X132" s="122"/>
      <c r="Y132" s="184"/>
      <c r="Z132" s="184"/>
      <c r="AA132" s="184"/>
      <c r="AB132" s="184"/>
      <c r="AC132" s="184"/>
      <c r="AD132" s="184"/>
      <c r="AE132" s="184"/>
      <c r="AF132" s="125" t="str">
        <f t="shared" si="7"/>
        <v/>
      </c>
      <c r="AG132" s="125" t="str">
        <f t="shared" si="8"/>
        <v/>
      </c>
      <c r="AH132" s="125" t="str">
        <f t="shared" si="9"/>
        <v/>
      </c>
      <c r="AI132" s="125" t="str">
        <f t="shared" si="10"/>
        <v/>
      </c>
    </row>
    <row r="133" spans="1:35">
      <c r="A133" s="4">
        <v>129</v>
      </c>
      <c r="B133" s="32" t="s">
        <v>55</v>
      </c>
      <c r="C133" s="34"/>
      <c r="D133" s="37" t="s">
        <v>56</v>
      </c>
      <c r="E133" s="35"/>
      <c r="F133" s="24" t="str">
        <f t="shared" si="11"/>
        <v/>
      </c>
      <c r="G133" s="163"/>
      <c r="H133" s="163"/>
      <c r="I133" s="163"/>
      <c r="J133" s="163"/>
      <c r="K133" s="169"/>
      <c r="L133" s="235"/>
      <c r="M133" s="235"/>
      <c r="N133" s="169"/>
      <c r="O133" s="169"/>
      <c r="P133" s="169"/>
      <c r="Q133" s="175"/>
      <c r="R133" s="175"/>
      <c r="S133" s="175"/>
      <c r="T133" s="180"/>
      <c r="U133" s="122"/>
      <c r="V133" s="122"/>
      <c r="W133" s="122"/>
      <c r="X133" s="122"/>
      <c r="Y133" s="184"/>
      <c r="Z133" s="184"/>
      <c r="AA133" s="184"/>
      <c r="AB133" s="184"/>
      <c r="AC133" s="184"/>
      <c r="AD133" s="184"/>
      <c r="AE133" s="184"/>
      <c r="AF133" s="125" t="str">
        <f t="shared" si="7"/>
        <v/>
      </c>
      <c r="AG133" s="125" t="str">
        <f t="shared" si="8"/>
        <v/>
      </c>
      <c r="AH133" s="125" t="str">
        <f t="shared" si="9"/>
        <v/>
      </c>
      <c r="AI133" s="125" t="str">
        <f t="shared" si="10"/>
        <v/>
      </c>
    </row>
    <row r="134" spans="1:35">
      <c r="A134" s="4">
        <v>130</v>
      </c>
      <c r="B134" s="32" t="s">
        <v>55</v>
      </c>
      <c r="C134" s="34"/>
      <c r="D134" s="37" t="s">
        <v>56</v>
      </c>
      <c r="E134" s="35"/>
      <c r="F134" s="24" t="str">
        <f t="shared" ref="F134:F135" si="12">IF(ISBLANK(C134),"",(C134-C133)*$E$4+(E134-E133))</f>
        <v/>
      </c>
      <c r="G134" s="163"/>
      <c r="H134" s="163"/>
      <c r="I134" s="163"/>
      <c r="J134" s="163"/>
      <c r="K134" s="169"/>
      <c r="L134" s="235"/>
      <c r="M134" s="235"/>
      <c r="N134" s="169"/>
      <c r="O134" s="169"/>
      <c r="P134" s="169"/>
      <c r="Q134" s="175"/>
      <c r="R134" s="175"/>
      <c r="S134" s="175"/>
      <c r="T134" s="180"/>
      <c r="U134" s="122"/>
      <c r="V134" s="122"/>
      <c r="W134" s="122"/>
      <c r="X134" s="122"/>
      <c r="Y134" s="184"/>
      <c r="Z134" s="184"/>
      <c r="AA134" s="184"/>
      <c r="AB134" s="184"/>
      <c r="AC134" s="184"/>
      <c r="AD134" s="184"/>
      <c r="AE134" s="184"/>
      <c r="AF134" s="125" t="str">
        <f t="shared" ref="AF134:AF197" si="13">IF(ISBLANK(C134),"",G134)</f>
        <v/>
      </c>
      <c r="AG134" s="125" t="str">
        <f t="shared" ref="AG134:AG197" si="14">IF(ISBLANK(C134),"",SUM(K134:X134))</f>
        <v/>
      </c>
      <c r="AH134" s="125" t="str">
        <f t="shared" ref="AH134:AH197" si="15">IF(ISBLANK(C134),"",SUM(Y134:Z134))</f>
        <v/>
      </c>
      <c r="AI134" s="125" t="str">
        <f t="shared" ref="AI134:AI197" si="16">IF(ISBLANK(C134),"",SUM(AA134:AB134))</f>
        <v/>
      </c>
    </row>
    <row r="135" spans="1:35">
      <c r="A135" s="4">
        <v>131</v>
      </c>
      <c r="B135" s="32" t="s">
        <v>55</v>
      </c>
      <c r="C135" s="34"/>
      <c r="D135" s="37" t="s">
        <v>56</v>
      </c>
      <c r="E135" s="35"/>
      <c r="F135" s="24" t="str">
        <f t="shared" si="12"/>
        <v/>
      </c>
      <c r="G135" s="163"/>
      <c r="H135" s="163"/>
      <c r="I135" s="163"/>
      <c r="J135" s="163"/>
      <c r="K135" s="169"/>
      <c r="L135" s="235"/>
      <c r="M135" s="235"/>
      <c r="N135" s="169"/>
      <c r="O135" s="169"/>
      <c r="P135" s="169"/>
      <c r="Q135" s="175"/>
      <c r="R135" s="175"/>
      <c r="S135" s="175"/>
      <c r="T135" s="180"/>
      <c r="U135" s="122"/>
      <c r="V135" s="122"/>
      <c r="W135" s="122"/>
      <c r="X135" s="122"/>
      <c r="Y135" s="184"/>
      <c r="Z135" s="184"/>
      <c r="AA135" s="184"/>
      <c r="AB135" s="184"/>
      <c r="AC135" s="184"/>
      <c r="AD135" s="184"/>
      <c r="AE135" s="184"/>
      <c r="AF135" s="125" t="str">
        <f t="shared" si="13"/>
        <v/>
      </c>
      <c r="AG135" s="125" t="str">
        <f t="shared" si="14"/>
        <v/>
      </c>
      <c r="AH135" s="125" t="str">
        <f t="shared" si="15"/>
        <v/>
      </c>
      <c r="AI135" s="125" t="str">
        <f t="shared" si="16"/>
        <v/>
      </c>
    </row>
    <row r="136" spans="1:35">
      <c r="A136" s="4">
        <v>132</v>
      </c>
      <c r="B136" s="32" t="s">
        <v>55</v>
      </c>
      <c r="C136" s="34"/>
      <c r="D136" s="37" t="s">
        <v>56</v>
      </c>
      <c r="E136" s="35"/>
      <c r="F136" s="24"/>
      <c r="G136" s="163"/>
      <c r="H136" s="163"/>
      <c r="I136" s="163"/>
      <c r="J136" s="163"/>
      <c r="K136" s="169"/>
      <c r="L136" s="235"/>
      <c r="M136" s="235"/>
      <c r="N136" s="169"/>
      <c r="O136" s="169"/>
      <c r="P136" s="169"/>
      <c r="Q136" s="175"/>
      <c r="R136" s="175"/>
      <c r="S136" s="175"/>
      <c r="T136" s="180"/>
      <c r="U136" s="122"/>
      <c r="V136" s="122"/>
      <c r="W136" s="122"/>
      <c r="X136" s="122"/>
      <c r="Y136" s="184"/>
      <c r="Z136" s="184"/>
      <c r="AA136" s="184"/>
      <c r="AB136" s="184"/>
      <c r="AC136" s="184"/>
      <c r="AD136" s="184"/>
      <c r="AE136" s="184"/>
      <c r="AF136" s="125" t="str">
        <f t="shared" si="13"/>
        <v/>
      </c>
      <c r="AG136" s="125" t="str">
        <f t="shared" si="14"/>
        <v/>
      </c>
      <c r="AH136" s="125" t="str">
        <f t="shared" si="15"/>
        <v/>
      </c>
      <c r="AI136" s="125" t="str">
        <f t="shared" si="16"/>
        <v/>
      </c>
    </row>
    <row r="137" spans="1:35" s="27" customFormat="1">
      <c r="A137" s="4">
        <v>133</v>
      </c>
      <c r="B137" s="32" t="s">
        <v>55</v>
      </c>
      <c r="C137" s="34"/>
      <c r="D137" s="37" t="s">
        <v>56</v>
      </c>
      <c r="E137" s="35"/>
      <c r="F137" s="24"/>
      <c r="G137" s="163"/>
      <c r="H137" s="163"/>
      <c r="I137" s="163"/>
      <c r="J137" s="163"/>
      <c r="K137" s="169"/>
      <c r="L137" s="235"/>
      <c r="M137" s="235"/>
      <c r="N137" s="169"/>
      <c r="O137" s="169"/>
      <c r="P137" s="169"/>
      <c r="Q137" s="175"/>
      <c r="R137" s="175"/>
      <c r="S137" s="175"/>
      <c r="T137" s="180"/>
      <c r="U137" s="122"/>
      <c r="V137" s="122"/>
      <c r="W137" s="122"/>
      <c r="X137" s="122"/>
      <c r="Y137" s="184"/>
      <c r="Z137" s="184"/>
      <c r="AA137" s="184"/>
      <c r="AB137" s="184"/>
      <c r="AC137" s="184"/>
      <c r="AD137" s="184"/>
      <c r="AE137" s="184"/>
      <c r="AF137" s="125" t="str">
        <f t="shared" si="13"/>
        <v/>
      </c>
      <c r="AG137" s="125" t="str">
        <f t="shared" si="14"/>
        <v/>
      </c>
      <c r="AH137" s="125" t="str">
        <f t="shared" si="15"/>
        <v/>
      </c>
      <c r="AI137" s="125" t="str">
        <f t="shared" si="16"/>
        <v/>
      </c>
    </row>
    <row r="138" spans="1:35" s="27" customFormat="1">
      <c r="A138" s="4">
        <v>134</v>
      </c>
      <c r="B138" s="32" t="s">
        <v>55</v>
      </c>
      <c r="C138" s="34"/>
      <c r="D138" s="37" t="s">
        <v>56</v>
      </c>
      <c r="E138" s="35"/>
      <c r="F138" s="24"/>
      <c r="G138" s="163"/>
      <c r="H138" s="163"/>
      <c r="I138" s="163"/>
      <c r="J138" s="163"/>
      <c r="K138" s="169"/>
      <c r="L138" s="235"/>
      <c r="M138" s="235"/>
      <c r="N138" s="169"/>
      <c r="O138" s="169"/>
      <c r="P138" s="169"/>
      <c r="Q138" s="175"/>
      <c r="R138" s="175"/>
      <c r="S138" s="175"/>
      <c r="T138" s="180"/>
      <c r="U138" s="122"/>
      <c r="V138" s="122"/>
      <c r="W138" s="122"/>
      <c r="X138" s="122"/>
      <c r="Y138" s="184"/>
      <c r="Z138" s="184"/>
      <c r="AA138" s="184"/>
      <c r="AB138" s="184"/>
      <c r="AC138" s="184"/>
      <c r="AD138" s="184"/>
      <c r="AE138" s="184"/>
      <c r="AF138" s="125" t="str">
        <f t="shared" si="13"/>
        <v/>
      </c>
      <c r="AG138" s="125" t="str">
        <f t="shared" si="14"/>
        <v/>
      </c>
      <c r="AH138" s="125" t="str">
        <f t="shared" si="15"/>
        <v/>
      </c>
      <c r="AI138" s="125" t="str">
        <f t="shared" si="16"/>
        <v/>
      </c>
    </row>
    <row r="139" spans="1:35">
      <c r="A139" s="4">
        <v>135</v>
      </c>
      <c r="B139" s="32" t="s">
        <v>55</v>
      </c>
      <c r="C139" s="34"/>
      <c r="D139" s="37" t="s">
        <v>56</v>
      </c>
      <c r="E139" s="35"/>
      <c r="F139" s="24"/>
      <c r="G139" s="163"/>
      <c r="H139" s="163"/>
      <c r="I139" s="163"/>
      <c r="J139" s="163"/>
      <c r="K139" s="169"/>
      <c r="L139" s="235"/>
      <c r="M139" s="235"/>
      <c r="N139" s="169"/>
      <c r="O139" s="169"/>
      <c r="P139" s="169"/>
      <c r="Q139" s="175"/>
      <c r="R139" s="175"/>
      <c r="S139" s="175"/>
      <c r="T139" s="180"/>
      <c r="U139" s="122"/>
      <c r="V139" s="122"/>
      <c r="W139" s="122"/>
      <c r="X139" s="122"/>
      <c r="Y139" s="184"/>
      <c r="Z139" s="184"/>
      <c r="AA139" s="184"/>
      <c r="AB139" s="184"/>
      <c r="AC139" s="184"/>
      <c r="AD139" s="184"/>
      <c r="AE139" s="184"/>
      <c r="AF139" s="125" t="str">
        <f t="shared" si="13"/>
        <v/>
      </c>
      <c r="AG139" s="125" t="str">
        <f t="shared" si="14"/>
        <v/>
      </c>
      <c r="AH139" s="125" t="str">
        <f t="shared" si="15"/>
        <v/>
      </c>
      <c r="AI139" s="125" t="str">
        <f t="shared" si="16"/>
        <v/>
      </c>
    </row>
    <row r="140" spans="1:35">
      <c r="A140" s="4">
        <v>136</v>
      </c>
      <c r="B140" s="32" t="s">
        <v>55</v>
      </c>
      <c r="C140" s="34"/>
      <c r="D140" s="37" t="s">
        <v>56</v>
      </c>
      <c r="E140" s="35"/>
      <c r="F140" s="24"/>
      <c r="G140" s="163"/>
      <c r="H140" s="163"/>
      <c r="I140" s="163"/>
      <c r="J140" s="163"/>
      <c r="K140" s="169"/>
      <c r="L140" s="235"/>
      <c r="M140" s="235"/>
      <c r="N140" s="169"/>
      <c r="O140" s="169"/>
      <c r="P140" s="169"/>
      <c r="Q140" s="175"/>
      <c r="R140" s="175"/>
      <c r="S140" s="175"/>
      <c r="T140" s="180"/>
      <c r="U140" s="122"/>
      <c r="V140" s="122"/>
      <c r="W140" s="122"/>
      <c r="X140" s="122"/>
      <c r="Y140" s="184"/>
      <c r="Z140" s="184"/>
      <c r="AA140" s="184"/>
      <c r="AB140" s="184"/>
      <c r="AC140" s="184"/>
      <c r="AD140" s="184"/>
      <c r="AE140" s="184"/>
      <c r="AF140" s="125" t="str">
        <f t="shared" si="13"/>
        <v/>
      </c>
      <c r="AG140" s="125" t="str">
        <f t="shared" si="14"/>
        <v/>
      </c>
      <c r="AH140" s="125" t="str">
        <f t="shared" si="15"/>
        <v/>
      </c>
      <c r="AI140" s="125" t="str">
        <f t="shared" si="16"/>
        <v/>
      </c>
    </row>
    <row r="141" spans="1:35" s="27" customFormat="1">
      <c r="A141" s="4">
        <v>137</v>
      </c>
      <c r="B141" s="32" t="s">
        <v>55</v>
      </c>
      <c r="C141" s="34"/>
      <c r="D141" s="37" t="s">
        <v>56</v>
      </c>
      <c r="E141" s="35"/>
      <c r="F141" s="24"/>
      <c r="G141" s="163"/>
      <c r="H141" s="163"/>
      <c r="I141" s="163"/>
      <c r="J141" s="163"/>
      <c r="K141" s="169"/>
      <c r="L141" s="235"/>
      <c r="M141" s="235"/>
      <c r="N141" s="169"/>
      <c r="O141" s="169"/>
      <c r="P141" s="169"/>
      <c r="Q141" s="175"/>
      <c r="R141" s="175"/>
      <c r="S141" s="175"/>
      <c r="T141" s="180"/>
      <c r="U141" s="122"/>
      <c r="V141" s="122"/>
      <c r="W141" s="122"/>
      <c r="X141" s="122"/>
      <c r="Y141" s="184"/>
      <c r="Z141" s="184"/>
      <c r="AA141" s="184"/>
      <c r="AB141" s="184"/>
      <c r="AC141" s="184"/>
      <c r="AD141" s="184"/>
      <c r="AE141" s="184"/>
      <c r="AF141" s="125" t="str">
        <f t="shared" si="13"/>
        <v/>
      </c>
      <c r="AG141" s="125" t="str">
        <f t="shared" si="14"/>
        <v/>
      </c>
      <c r="AH141" s="125" t="str">
        <f t="shared" si="15"/>
        <v/>
      </c>
      <c r="AI141" s="125" t="str">
        <f t="shared" si="16"/>
        <v/>
      </c>
    </row>
    <row r="142" spans="1:35">
      <c r="A142" s="4">
        <v>138</v>
      </c>
      <c r="B142" s="32" t="s">
        <v>55</v>
      </c>
      <c r="C142" s="34"/>
      <c r="D142" s="37" t="s">
        <v>56</v>
      </c>
      <c r="E142" s="35"/>
      <c r="F142" s="24"/>
      <c r="G142" s="163"/>
      <c r="H142" s="163"/>
      <c r="I142" s="163"/>
      <c r="J142" s="163"/>
      <c r="K142" s="169"/>
      <c r="L142" s="235"/>
      <c r="M142" s="235"/>
      <c r="N142" s="169"/>
      <c r="O142" s="169"/>
      <c r="P142" s="169"/>
      <c r="Q142" s="175"/>
      <c r="R142" s="175"/>
      <c r="S142" s="175"/>
      <c r="T142" s="180"/>
      <c r="U142" s="122"/>
      <c r="V142" s="122"/>
      <c r="W142" s="122"/>
      <c r="X142" s="122"/>
      <c r="Y142" s="184"/>
      <c r="Z142" s="184"/>
      <c r="AA142" s="184"/>
      <c r="AB142" s="184"/>
      <c r="AC142" s="184"/>
      <c r="AD142" s="184"/>
      <c r="AE142" s="184"/>
      <c r="AF142" s="125" t="str">
        <f t="shared" si="13"/>
        <v/>
      </c>
      <c r="AG142" s="125" t="str">
        <f t="shared" si="14"/>
        <v/>
      </c>
      <c r="AH142" s="125" t="str">
        <f t="shared" si="15"/>
        <v/>
      </c>
      <c r="AI142" s="125" t="str">
        <f t="shared" si="16"/>
        <v/>
      </c>
    </row>
    <row r="143" spans="1:35" s="27" customFormat="1">
      <c r="A143" s="4">
        <v>139</v>
      </c>
      <c r="B143" s="32" t="s">
        <v>55</v>
      </c>
      <c r="C143" s="34"/>
      <c r="D143" s="37" t="s">
        <v>56</v>
      </c>
      <c r="E143" s="35"/>
      <c r="F143" s="24"/>
      <c r="G143" s="163"/>
      <c r="H143" s="163"/>
      <c r="I143" s="163"/>
      <c r="J143" s="163"/>
      <c r="K143" s="169"/>
      <c r="L143" s="235"/>
      <c r="M143" s="235"/>
      <c r="N143" s="169"/>
      <c r="O143" s="169"/>
      <c r="P143" s="169"/>
      <c r="Q143" s="175"/>
      <c r="R143" s="175"/>
      <c r="S143" s="175"/>
      <c r="T143" s="180"/>
      <c r="U143" s="122"/>
      <c r="V143" s="122"/>
      <c r="W143" s="122"/>
      <c r="X143" s="122"/>
      <c r="Y143" s="184"/>
      <c r="Z143" s="184"/>
      <c r="AA143" s="184"/>
      <c r="AB143" s="184"/>
      <c r="AC143" s="184"/>
      <c r="AD143" s="184"/>
      <c r="AE143" s="184"/>
      <c r="AF143" s="125" t="str">
        <f t="shared" si="13"/>
        <v/>
      </c>
      <c r="AG143" s="125" t="str">
        <f t="shared" si="14"/>
        <v/>
      </c>
      <c r="AH143" s="125" t="str">
        <f t="shared" si="15"/>
        <v/>
      </c>
      <c r="AI143" s="125" t="str">
        <f t="shared" si="16"/>
        <v/>
      </c>
    </row>
    <row r="144" spans="1:35">
      <c r="A144" s="4">
        <v>140</v>
      </c>
      <c r="B144" s="32" t="s">
        <v>55</v>
      </c>
      <c r="C144" s="34"/>
      <c r="D144" s="37" t="s">
        <v>56</v>
      </c>
      <c r="E144" s="35"/>
      <c r="F144" s="24"/>
      <c r="G144" s="163"/>
      <c r="H144" s="163"/>
      <c r="I144" s="163"/>
      <c r="J144" s="163"/>
      <c r="K144" s="169"/>
      <c r="L144" s="235"/>
      <c r="M144" s="235"/>
      <c r="N144" s="169"/>
      <c r="O144" s="169"/>
      <c r="P144" s="169"/>
      <c r="Q144" s="175"/>
      <c r="R144" s="175"/>
      <c r="S144" s="175"/>
      <c r="T144" s="180"/>
      <c r="U144" s="122"/>
      <c r="V144" s="122"/>
      <c r="W144" s="122"/>
      <c r="X144" s="122"/>
      <c r="Y144" s="184"/>
      <c r="Z144" s="184"/>
      <c r="AA144" s="184"/>
      <c r="AB144" s="184"/>
      <c r="AC144" s="184"/>
      <c r="AD144" s="184"/>
      <c r="AE144" s="184"/>
      <c r="AF144" s="125" t="str">
        <f t="shared" si="13"/>
        <v/>
      </c>
      <c r="AG144" s="125" t="str">
        <f t="shared" si="14"/>
        <v/>
      </c>
      <c r="AH144" s="125" t="str">
        <f t="shared" si="15"/>
        <v/>
      </c>
      <c r="AI144" s="125" t="str">
        <f t="shared" si="16"/>
        <v/>
      </c>
    </row>
    <row r="145" spans="1:35">
      <c r="A145" s="4">
        <v>141</v>
      </c>
      <c r="B145" s="32" t="s">
        <v>55</v>
      </c>
      <c r="C145" s="34"/>
      <c r="D145" s="37" t="s">
        <v>56</v>
      </c>
      <c r="E145" s="35"/>
      <c r="F145" s="24"/>
      <c r="G145" s="163"/>
      <c r="H145" s="163"/>
      <c r="I145" s="163"/>
      <c r="J145" s="163"/>
      <c r="K145" s="169"/>
      <c r="L145" s="235"/>
      <c r="M145" s="235"/>
      <c r="N145" s="169"/>
      <c r="O145" s="169"/>
      <c r="P145" s="169"/>
      <c r="Q145" s="175"/>
      <c r="R145" s="175"/>
      <c r="S145" s="175"/>
      <c r="T145" s="180"/>
      <c r="U145" s="122"/>
      <c r="V145" s="122"/>
      <c r="W145" s="122"/>
      <c r="X145" s="122"/>
      <c r="Y145" s="184"/>
      <c r="Z145" s="184"/>
      <c r="AA145" s="184"/>
      <c r="AB145" s="184"/>
      <c r="AC145" s="184"/>
      <c r="AD145" s="184"/>
      <c r="AE145" s="184"/>
      <c r="AF145" s="125" t="str">
        <f t="shared" si="13"/>
        <v/>
      </c>
      <c r="AG145" s="125" t="str">
        <f t="shared" si="14"/>
        <v/>
      </c>
      <c r="AH145" s="125" t="str">
        <f t="shared" si="15"/>
        <v/>
      </c>
      <c r="AI145" s="125" t="str">
        <f t="shared" si="16"/>
        <v/>
      </c>
    </row>
    <row r="146" spans="1:35">
      <c r="A146" s="4">
        <v>142</v>
      </c>
      <c r="B146" s="32" t="s">
        <v>55</v>
      </c>
      <c r="C146" s="34"/>
      <c r="D146" s="37" t="s">
        <v>56</v>
      </c>
      <c r="E146" s="35"/>
      <c r="F146" s="24"/>
      <c r="G146" s="163"/>
      <c r="H146" s="163"/>
      <c r="I146" s="163"/>
      <c r="J146" s="163"/>
      <c r="K146" s="169"/>
      <c r="L146" s="235"/>
      <c r="M146" s="235"/>
      <c r="N146" s="169"/>
      <c r="O146" s="169"/>
      <c r="P146" s="169"/>
      <c r="Q146" s="175"/>
      <c r="R146" s="175"/>
      <c r="S146" s="175"/>
      <c r="T146" s="180"/>
      <c r="U146" s="122"/>
      <c r="V146" s="122"/>
      <c r="W146" s="122"/>
      <c r="X146" s="122"/>
      <c r="Y146" s="184"/>
      <c r="Z146" s="184"/>
      <c r="AA146" s="184"/>
      <c r="AB146" s="184"/>
      <c r="AC146" s="184"/>
      <c r="AD146" s="184"/>
      <c r="AE146" s="184"/>
      <c r="AF146" s="125" t="str">
        <f t="shared" si="13"/>
        <v/>
      </c>
      <c r="AG146" s="125" t="str">
        <f t="shared" si="14"/>
        <v/>
      </c>
      <c r="AH146" s="125" t="str">
        <f t="shared" si="15"/>
        <v/>
      </c>
      <c r="AI146" s="125" t="str">
        <f t="shared" si="16"/>
        <v/>
      </c>
    </row>
    <row r="147" spans="1:35" s="27" customFormat="1">
      <c r="A147" s="4">
        <v>143</v>
      </c>
      <c r="B147" s="32" t="s">
        <v>55</v>
      </c>
      <c r="C147" s="34"/>
      <c r="D147" s="37" t="s">
        <v>56</v>
      </c>
      <c r="E147" s="35"/>
      <c r="F147" s="24"/>
      <c r="G147" s="163"/>
      <c r="H147" s="163"/>
      <c r="I147" s="163"/>
      <c r="J147" s="163"/>
      <c r="K147" s="169"/>
      <c r="L147" s="235"/>
      <c r="M147" s="235"/>
      <c r="N147" s="169"/>
      <c r="O147" s="169"/>
      <c r="P147" s="169"/>
      <c r="Q147" s="175"/>
      <c r="R147" s="175"/>
      <c r="S147" s="175"/>
      <c r="T147" s="180"/>
      <c r="U147" s="122"/>
      <c r="V147" s="122"/>
      <c r="W147" s="122"/>
      <c r="X147" s="122"/>
      <c r="Y147" s="184"/>
      <c r="Z147" s="184"/>
      <c r="AA147" s="184"/>
      <c r="AB147" s="184"/>
      <c r="AC147" s="184"/>
      <c r="AD147" s="184"/>
      <c r="AE147" s="184"/>
      <c r="AF147" s="125" t="str">
        <f t="shared" si="13"/>
        <v/>
      </c>
      <c r="AG147" s="125" t="str">
        <f t="shared" si="14"/>
        <v/>
      </c>
      <c r="AH147" s="125" t="str">
        <f t="shared" si="15"/>
        <v/>
      </c>
      <c r="AI147" s="125" t="str">
        <f t="shared" si="16"/>
        <v/>
      </c>
    </row>
    <row r="148" spans="1:35" s="27" customFormat="1">
      <c r="A148" s="4">
        <v>144</v>
      </c>
      <c r="B148" s="32" t="s">
        <v>55</v>
      </c>
      <c r="C148" s="34"/>
      <c r="D148" s="37" t="s">
        <v>56</v>
      </c>
      <c r="E148" s="35"/>
      <c r="F148" s="24"/>
      <c r="G148" s="163"/>
      <c r="H148" s="163"/>
      <c r="I148" s="163"/>
      <c r="J148" s="163"/>
      <c r="K148" s="169"/>
      <c r="L148" s="235"/>
      <c r="M148" s="235"/>
      <c r="N148" s="169"/>
      <c r="O148" s="169"/>
      <c r="P148" s="169"/>
      <c r="Q148" s="175"/>
      <c r="R148" s="175"/>
      <c r="S148" s="175"/>
      <c r="T148" s="180"/>
      <c r="U148" s="122"/>
      <c r="V148" s="122"/>
      <c r="W148" s="122"/>
      <c r="X148" s="122"/>
      <c r="Y148" s="184"/>
      <c r="Z148" s="184"/>
      <c r="AA148" s="184"/>
      <c r="AB148" s="184"/>
      <c r="AC148" s="184"/>
      <c r="AD148" s="184"/>
      <c r="AE148" s="184"/>
      <c r="AF148" s="125" t="str">
        <f t="shared" si="13"/>
        <v/>
      </c>
      <c r="AG148" s="125" t="str">
        <f t="shared" si="14"/>
        <v/>
      </c>
      <c r="AH148" s="125" t="str">
        <f t="shared" si="15"/>
        <v/>
      </c>
      <c r="AI148" s="125" t="str">
        <f t="shared" si="16"/>
        <v/>
      </c>
    </row>
    <row r="149" spans="1:35">
      <c r="A149" s="4">
        <v>145</v>
      </c>
      <c r="B149" s="32" t="s">
        <v>55</v>
      </c>
      <c r="C149" s="34"/>
      <c r="D149" s="37" t="s">
        <v>56</v>
      </c>
      <c r="E149" s="35"/>
      <c r="F149" s="24"/>
      <c r="G149" s="163"/>
      <c r="H149" s="163"/>
      <c r="I149" s="163"/>
      <c r="J149" s="163"/>
      <c r="K149" s="169"/>
      <c r="L149" s="235"/>
      <c r="M149" s="235"/>
      <c r="N149" s="169"/>
      <c r="O149" s="169"/>
      <c r="P149" s="169"/>
      <c r="Q149" s="175"/>
      <c r="R149" s="175"/>
      <c r="S149" s="175"/>
      <c r="T149" s="180"/>
      <c r="U149" s="122"/>
      <c r="V149" s="122"/>
      <c r="W149" s="122"/>
      <c r="X149" s="122"/>
      <c r="Y149" s="184"/>
      <c r="Z149" s="184"/>
      <c r="AA149" s="184"/>
      <c r="AB149" s="184"/>
      <c r="AC149" s="184"/>
      <c r="AD149" s="184"/>
      <c r="AE149" s="184"/>
      <c r="AF149" s="125" t="str">
        <f t="shared" si="13"/>
        <v/>
      </c>
      <c r="AG149" s="125" t="str">
        <f t="shared" si="14"/>
        <v/>
      </c>
      <c r="AH149" s="125" t="str">
        <f t="shared" si="15"/>
        <v/>
      </c>
      <c r="AI149" s="125" t="str">
        <f t="shared" si="16"/>
        <v/>
      </c>
    </row>
    <row r="150" spans="1:35">
      <c r="A150" s="4">
        <v>146</v>
      </c>
      <c r="B150" s="32" t="s">
        <v>55</v>
      </c>
      <c r="C150" s="34"/>
      <c r="D150" s="37" t="s">
        <v>56</v>
      </c>
      <c r="E150" s="35"/>
      <c r="F150" s="24"/>
      <c r="G150" s="163"/>
      <c r="H150" s="163"/>
      <c r="I150" s="163"/>
      <c r="J150" s="163"/>
      <c r="K150" s="169"/>
      <c r="L150" s="235"/>
      <c r="M150" s="235"/>
      <c r="N150" s="169"/>
      <c r="O150" s="169"/>
      <c r="P150" s="169"/>
      <c r="Q150" s="175"/>
      <c r="R150" s="175"/>
      <c r="S150" s="175"/>
      <c r="T150" s="180"/>
      <c r="U150" s="122"/>
      <c r="V150" s="122"/>
      <c r="W150" s="122"/>
      <c r="X150" s="122"/>
      <c r="Y150" s="184"/>
      <c r="Z150" s="184"/>
      <c r="AA150" s="184"/>
      <c r="AB150" s="184"/>
      <c r="AC150" s="184"/>
      <c r="AD150" s="184"/>
      <c r="AE150" s="184"/>
      <c r="AF150" s="125" t="str">
        <f t="shared" si="13"/>
        <v/>
      </c>
      <c r="AG150" s="125" t="str">
        <f t="shared" si="14"/>
        <v/>
      </c>
      <c r="AH150" s="125" t="str">
        <f t="shared" si="15"/>
        <v/>
      </c>
      <c r="AI150" s="125" t="str">
        <f t="shared" si="16"/>
        <v/>
      </c>
    </row>
    <row r="151" spans="1:35">
      <c r="A151" s="4">
        <v>147</v>
      </c>
      <c r="B151" s="32" t="s">
        <v>55</v>
      </c>
      <c r="C151" s="34"/>
      <c r="D151" s="37" t="s">
        <v>56</v>
      </c>
      <c r="E151" s="35"/>
      <c r="F151" s="24"/>
      <c r="G151" s="163"/>
      <c r="H151" s="163"/>
      <c r="I151" s="163"/>
      <c r="J151" s="163"/>
      <c r="K151" s="169"/>
      <c r="L151" s="235"/>
      <c r="M151" s="235"/>
      <c r="N151" s="169"/>
      <c r="O151" s="169"/>
      <c r="P151" s="169"/>
      <c r="Q151" s="175"/>
      <c r="R151" s="175"/>
      <c r="S151" s="175"/>
      <c r="T151" s="180"/>
      <c r="U151" s="122"/>
      <c r="V151" s="122"/>
      <c r="W151" s="122"/>
      <c r="X151" s="122"/>
      <c r="Y151" s="184"/>
      <c r="Z151" s="184"/>
      <c r="AA151" s="184"/>
      <c r="AB151" s="184"/>
      <c r="AC151" s="184"/>
      <c r="AD151" s="184"/>
      <c r="AE151" s="184"/>
      <c r="AF151" s="125" t="str">
        <f t="shared" si="13"/>
        <v/>
      </c>
      <c r="AG151" s="125" t="str">
        <f t="shared" si="14"/>
        <v/>
      </c>
      <c r="AH151" s="125" t="str">
        <f t="shared" si="15"/>
        <v/>
      </c>
      <c r="AI151" s="125" t="str">
        <f t="shared" si="16"/>
        <v/>
      </c>
    </row>
    <row r="152" spans="1:35" s="27" customFormat="1">
      <c r="A152" s="4">
        <v>148</v>
      </c>
      <c r="B152" s="32" t="s">
        <v>55</v>
      </c>
      <c r="C152" s="34"/>
      <c r="D152" s="37" t="s">
        <v>56</v>
      </c>
      <c r="E152" s="35"/>
      <c r="F152" s="24"/>
      <c r="G152" s="163"/>
      <c r="H152" s="163"/>
      <c r="I152" s="163"/>
      <c r="J152" s="163"/>
      <c r="K152" s="169"/>
      <c r="L152" s="235"/>
      <c r="M152" s="235"/>
      <c r="N152" s="169"/>
      <c r="O152" s="169"/>
      <c r="P152" s="169"/>
      <c r="Q152" s="175"/>
      <c r="R152" s="175"/>
      <c r="S152" s="175"/>
      <c r="T152" s="180"/>
      <c r="U152" s="122"/>
      <c r="V152" s="122"/>
      <c r="W152" s="122"/>
      <c r="X152" s="122"/>
      <c r="Y152" s="184"/>
      <c r="Z152" s="184"/>
      <c r="AA152" s="184"/>
      <c r="AB152" s="184"/>
      <c r="AC152" s="184"/>
      <c r="AD152" s="184"/>
      <c r="AE152" s="184"/>
      <c r="AF152" s="125" t="str">
        <f t="shared" si="13"/>
        <v/>
      </c>
      <c r="AG152" s="125" t="str">
        <f t="shared" si="14"/>
        <v/>
      </c>
      <c r="AH152" s="125" t="str">
        <f t="shared" si="15"/>
        <v/>
      </c>
      <c r="AI152" s="125" t="str">
        <f t="shared" si="16"/>
        <v/>
      </c>
    </row>
    <row r="153" spans="1:35">
      <c r="A153" s="4">
        <v>149</v>
      </c>
      <c r="B153" s="32" t="s">
        <v>55</v>
      </c>
      <c r="C153" s="34"/>
      <c r="D153" s="37" t="s">
        <v>56</v>
      </c>
      <c r="E153" s="35"/>
      <c r="F153" s="24"/>
      <c r="G153" s="163"/>
      <c r="H153" s="163"/>
      <c r="I153" s="163"/>
      <c r="J153" s="163"/>
      <c r="K153" s="169"/>
      <c r="L153" s="235"/>
      <c r="M153" s="235"/>
      <c r="N153" s="169"/>
      <c r="O153" s="169"/>
      <c r="P153" s="169"/>
      <c r="Q153" s="175"/>
      <c r="R153" s="175"/>
      <c r="S153" s="175"/>
      <c r="T153" s="180"/>
      <c r="U153" s="122"/>
      <c r="V153" s="122"/>
      <c r="W153" s="122"/>
      <c r="X153" s="122"/>
      <c r="Y153" s="184"/>
      <c r="Z153" s="184"/>
      <c r="AA153" s="184"/>
      <c r="AB153" s="184"/>
      <c r="AC153" s="184"/>
      <c r="AD153" s="184"/>
      <c r="AE153" s="184"/>
      <c r="AF153" s="125" t="str">
        <f t="shared" si="13"/>
        <v/>
      </c>
      <c r="AG153" s="125" t="str">
        <f t="shared" si="14"/>
        <v/>
      </c>
      <c r="AH153" s="125" t="str">
        <f t="shared" si="15"/>
        <v/>
      </c>
      <c r="AI153" s="125" t="str">
        <f t="shared" si="16"/>
        <v/>
      </c>
    </row>
    <row r="154" spans="1:35">
      <c r="A154" s="4">
        <v>150</v>
      </c>
      <c r="B154" s="32" t="s">
        <v>55</v>
      </c>
      <c r="C154" s="34"/>
      <c r="D154" s="37" t="s">
        <v>56</v>
      </c>
      <c r="E154" s="35"/>
      <c r="F154" s="24"/>
      <c r="G154" s="163"/>
      <c r="H154" s="163"/>
      <c r="I154" s="163"/>
      <c r="J154" s="163"/>
      <c r="K154" s="169"/>
      <c r="L154" s="235"/>
      <c r="M154" s="235"/>
      <c r="N154" s="169"/>
      <c r="O154" s="169"/>
      <c r="P154" s="169"/>
      <c r="Q154" s="175"/>
      <c r="R154" s="175"/>
      <c r="S154" s="175"/>
      <c r="T154" s="180"/>
      <c r="U154" s="122"/>
      <c r="V154" s="122"/>
      <c r="W154" s="122"/>
      <c r="X154" s="122"/>
      <c r="Y154" s="184"/>
      <c r="Z154" s="184"/>
      <c r="AA154" s="184"/>
      <c r="AB154" s="184"/>
      <c r="AC154" s="184"/>
      <c r="AD154" s="184"/>
      <c r="AE154" s="184"/>
      <c r="AF154" s="125" t="str">
        <f t="shared" si="13"/>
        <v/>
      </c>
      <c r="AG154" s="125" t="str">
        <f t="shared" si="14"/>
        <v/>
      </c>
      <c r="AH154" s="125" t="str">
        <f t="shared" si="15"/>
        <v/>
      </c>
      <c r="AI154" s="125" t="str">
        <f t="shared" si="16"/>
        <v/>
      </c>
    </row>
    <row r="155" spans="1:35">
      <c r="A155" s="4">
        <v>151</v>
      </c>
      <c r="B155" s="32" t="s">
        <v>55</v>
      </c>
      <c r="C155" s="34"/>
      <c r="D155" s="37" t="s">
        <v>56</v>
      </c>
      <c r="E155" s="35"/>
      <c r="F155" s="24"/>
      <c r="G155" s="163"/>
      <c r="H155" s="163"/>
      <c r="I155" s="163"/>
      <c r="J155" s="163"/>
      <c r="K155" s="169"/>
      <c r="L155" s="235"/>
      <c r="M155" s="235"/>
      <c r="N155" s="169"/>
      <c r="O155" s="169"/>
      <c r="P155" s="169"/>
      <c r="Q155" s="175"/>
      <c r="R155" s="175"/>
      <c r="S155" s="175"/>
      <c r="T155" s="180"/>
      <c r="U155" s="122"/>
      <c r="V155" s="122"/>
      <c r="W155" s="122"/>
      <c r="X155" s="122"/>
      <c r="Y155" s="184"/>
      <c r="Z155" s="184"/>
      <c r="AA155" s="184"/>
      <c r="AB155" s="184"/>
      <c r="AC155" s="184"/>
      <c r="AD155" s="184"/>
      <c r="AE155" s="184"/>
      <c r="AF155" s="125" t="str">
        <f t="shared" si="13"/>
        <v/>
      </c>
      <c r="AG155" s="125" t="str">
        <f t="shared" si="14"/>
        <v/>
      </c>
      <c r="AH155" s="125" t="str">
        <f t="shared" si="15"/>
        <v/>
      </c>
      <c r="AI155" s="125" t="str">
        <f t="shared" si="16"/>
        <v/>
      </c>
    </row>
    <row r="156" spans="1:35">
      <c r="A156" s="4">
        <v>152</v>
      </c>
      <c r="B156" s="32" t="s">
        <v>55</v>
      </c>
      <c r="C156" s="34"/>
      <c r="D156" s="37" t="s">
        <v>56</v>
      </c>
      <c r="E156" s="35"/>
      <c r="F156" s="24"/>
      <c r="G156" s="163"/>
      <c r="H156" s="163"/>
      <c r="I156" s="163"/>
      <c r="J156" s="163"/>
      <c r="K156" s="169"/>
      <c r="L156" s="235"/>
      <c r="M156" s="235"/>
      <c r="N156" s="169"/>
      <c r="O156" s="169"/>
      <c r="P156" s="169"/>
      <c r="Q156" s="175"/>
      <c r="R156" s="175"/>
      <c r="S156" s="175"/>
      <c r="T156" s="180"/>
      <c r="U156" s="122"/>
      <c r="V156" s="122"/>
      <c r="W156" s="122"/>
      <c r="X156" s="122"/>
      <c r="Y156" s="184"/>
      <c r="Z156" s="184"/>
      <c r="AA156" s="184"/>
      <c r="AB156" s="184"/>
      <c r="AC156" s="184"/>
      <c r="AD156" s="184"/>
      <c r="AE156" s="184"/>
      <c r="AF156" s="125" t="str">
        <f t="shared" si="13"/>
        <v/>
      </c>
      <c r="AG156" s="125" t="str">
        <f t="shared" si="14"/>
        <v/>
      </c>
      <c r="AH156" s="125" t="str">
        <f t="shared" si="15"/>
        <v/>
      </c>
      <c r="AI156" s="125" t="str">
        <f t="shared" si="16"/>
        <v/>
      </c>
    </row>
    <row r="157" spans="1:35">
      <c r="A157" s="4">
        <v>153</v>
      </c>
      <c r="B157" s="32" t="s">
        <v>55</v>
      </c>
      <c r="C157" s="34"/>
      <c r="D157" s="37" t="s">
        <v>56</v>
      </c>
      <c r="E157" s="35"/>
      <c r="F157" s="24"/>
      <c r="G157" s="163"/>
      <c r="H157" s="163"/>
      <c r="I157" s="163"/>
      <c r="J157" s="163"/>
      <c r="K157" s="169"/>
      <c r="L157" s="235"/>
      <c r="M157" s="235"/>
      <c r="N157" s="169"/>
      <c r="O157" s="169"/>
      <c r="P157" s="169"/>
      <c r="Q157" s="175"/>
      <c r="R157" s="175"/>
      <c r="S157" s="175"/>
      <c r="T157" s="180"/>
      <c r="U157" s="122"/>
      <c r="V157" s="122"/>
      <c r="W157" s="122"/>
      <c r="X157" s="122"/>
      <c r="Y157" s="184"/>
      <c r="Z157" s="184"/>
      <c r="AA157" s="184"/>
      <c r="AB157" s="184"/>
      <c r="AC157" s="184"/>
      <c r="AD157" s="184"/>
      <c r="AE157" s="184"/>
      <c r="AF157" s="125" t="str">
        <f t="shared" si="13"/>
        <v/>
      </c>
      <c r="AG157" s="125" t="str">
        <f t="shared" si="14"/>
        <v/>
      </c>
      <c r="AH157" s="125" t="str">
        <f t="shared" si="15"/>
        <v/>
      </c>
      <c r="AI157" s="125" t="str">
        <f t="shared" si="16"/>
        <v/>
      </c>
    </row>
    <row r="158" spans="1:35" s="27" customFormat="1">
      <c r="A158" s="4">
        <v>154</v>
      </c>
      <c r="B158" s="32" t="s">
        <v>55</v>
      </c>
      <c r="C158" s="34"/>
      <c r="D158" s="37" t="s">
        <v>56</v>
      </c>
      <c r="E158" s="35"/>
      <c r="F158" s="24"/>
      <c r="G158" s="163"/>
      <c r="H158" s="163"/>
      <c r="I158" s="163"/>
      <c r="J158" s="163"/>
      <c r="K158" s="169"/>
      <c r="L158" s="235"/>
      <c r="M158" s="235"/>
      <c r="N158" s="169"/>
      <c r="O158" s="169"/>
      <c r="P158" s="169"/>
      <c r="Q158" s="175"/>
      <c r="R158" s="175"/>
      <c r="S158" s="175"/>
      <c r="T158" s="180"/>
      <c r="U158" s="122"/>
      <c r="V158" s="122"/>
      <c r="W158" s="122"/>
      <c r="X158" s="122"/>
      <c r="Y158" s="184"/>
      <c r="Z158" s="184"/>
      <c r="AA158" s="184"/>
      <c r="AB158" s="184"/>
      <c r="AC158" s="184"/>
      <c r="AD158" s="184"/>
      <c r="AE158" s="184"/>
      <c r="AF158" s="125" t="str">
        <f t="shared" si="13"/>
        <v/>
      </c>
      <c r="AG158" s="125" t="str">
        <f t="shared" si="14"/>
        <v/>
      </c>
      <c r="AH158" s="125" t="str">
        <f t="shared" si="15"/>
        <v/>
      </c>
      <c r="AI158" s="125" t="str">
        <f t="shared" si="16"/>
        <v/>
      </c>
    </row>
    <row r="159" spans="1:35">
      <c r="A159" s="4">
        <v>155</v>
      </c>
      <c r="B159" s="32" t="s">
        <v>55</v>
      </c>
      <c r="C159" s="34"/>
      <c r="D159" s="37" t="s">
        <v>56</v>
      </c>
      <c r="E159" s="35"/>
      <c r="F159" s="24"/>
      <c r="G159" s="163"/>
      <c r="H159" s="163"/>
      <c r="I159" s="163"/>
      <c r="J159" s="163"/>
      <c r="K159" s="169"/>
      <c r="L159" s="235"/>
      <c r="M159" s="235"/>
      <c r="N159" s="169"/>
      <c r="O159" s="169"/>
      <c r="P159" s="169"/>
      <c r="Q159" s="175"/>
      <c r="R159" s="175"/>
      <c r="S159" s="175"/>
      <c r="T159" s="180"/>
      <c r="U159" s="122"/>
      <c r="V159" s="122"/>
      <c r="W159" s="122"/>
      <c r="X159" s="122"/>
      <c r="Y159" s="184"/>
      <c r="Z159" s="184"/>
      <c r="AA159" s="184"/>
      <c r="AB159" s="184"/>
      <c r="AC159" s="184"/>
      <c r="AD159" s="184"/>
      <c r="AE159" s="184"/>
      <c r="AF159" s="125" t="str">
        <f t="shared" si="13"/>
        <v/>
      </c>
      <c r="AG159" s="125" t="str">
        <f t="shared" si="14"/>
        <v/>
      </c>
      <c r="AH159" s="125" t="str">
        <f t="shared" si="15"/>
        <v/>
      </c>
      <c r="AI159" s="125" t="str">
        <f t="shared" si="16"/>
        <v/>
      </c>
    </row>
    <row r="160" spans="1:35">
      <c r="A160" s="4">
        <v>156</v>
      </c>
      <c r="B160" s="32" t="s">
        <v>55</v>
      </c>
      <c r="C160" s="34"/>
      <c r="D160" s="37" t="s">
        <v>56</v>
      </c>
      <c r="E160" s="35"/>
      <c r="F160" s="24"/>
      <c r="G160" s="163"/>
      <c r="H160" s="163"/>
      <c r="I160" s="163"/>
      <c r="J160" s="163"/>
      <c r="K160" s="169"/>
      <c r="L160" s="235"/>
      <c r="M160" s="235"/>
      <c r="N160" s="169"/>
      <c r="O160" s="169"/>
      <c r="P160" s="169"/>
      <c r="Q160" s="175"/>
      <c r="R160" s="175"/>
      <c r="S160" s="175"/>
      <c r="T160" s="180"/>
      <c r="U160" s="122"/>
      <c r="V160" s="122"/>
      <c r="W160" s="122"/>
      <c r="X160" s="122"/>
      <c r="Y160" s="184"/>
      <c r="Z160" s="184"/>
      <c r="AA160" s="184"/>
      <c r="AB160" s="184"/>
      <c r="AC160" s="184"/>
      <c r="AD160" s="184"/>
      <c r="AE160" s="184"/>
      <c r="AF160" s="125" t="str">
        <f t="shared" si="13"/>
        <v/>
      </c>
      <c r="AG160" s="125" t="str">
        <f t="shared" si="14"/>
        <v/>
      </c>
      <c r="AH160" s="125" t="str">
        <f t="shared" si="15"/>
        <v/>
      </c>
      <c r="AI160" s="125" t="str">
        <f t="shared" si="16"/>
        <v/>
      </c>
    </row>
    <row r="161" spans="1:35">
      <c r="A161" s="4">
        <v>157</v>
      </c>
      <c r="B161" s="32" t="s">
        <v>55</v>
      </c>
      <c r="C161" s="34"/>
      <c r="D161" s="37" t="s">
        <v>56</v>
      </c>
      <c r="E161" s="35"/>
      <c r="F161" s="24"/>
      <c r="G161" s="163"/>
      <c r="H161" s="163"/>
      <c r="I161" s="163"/>
      <c r="J161" s="163"/>
      <c r="K161" s="169"/>
      <c r="L161" s="235"/>
      <c r="M161" s="235"/>
      <c r="N161" s="169"/>
      <c r="O161" s="169"/>
      <c r="P161" s="169"/>
      <c r="Q161" s="175"/>
      <c r="R161" s="175"/>
      <c r="S161" s="175"/>
      <c r="T161" s="180"/>
      <c r="U161" s="122"/>
      <c r="V161" s="122"/>
      <c r="W161" s="122"/>
      <c r="X161" s="122"/>
      <c r="Y161" s="184"/>
      <c r="Z161" s="184"/>
      <c r="AA161" s="184"/>
      <c r="AB161" s="184"/>
      <c r="AC161" s="184"/>
      <c r="AD161" s="184"/>
      <c r="AE161" s="184"/>
      <c r="AF161" s="125" t="str">
        <f t="shared" si="13"/>
        <v/>
      </c>
      <c r="AG161" s="125" t="str">
        <f t="shared" si="14"/>
        <v/>
      </c>
      <c r="AH161" s="125" t="str">
        <f t="shared" si="15"/>
        <v/>
      </c>
      <c r="AI161" s="125" t="str">
        <f t="shared" si="16"/>
        <v/>
      </c>
    </row>
    <row r="162" spans="1:35" s="27" customFormat="1">
      <c r="A162" s="4">
        <v>158</v>
      </c>
      <c r="B162" s="32" t="s">
        <v>55</v>
      </c>
      <c r="C162" s="34"/>
      <c r="D162" s="37" t="s">
        <v>56</v>
      </c>
      <c r="E162" s="35"/>
      <c r="F162" s="24"/>
      <c r="G162" s="163"/>
      <c r="H162" s="163"/>
      <c r="I162" s="163"/>
      <c r="J162" s="163"/>
      <c r="K162" s="169"/>
      <c r="L162" s="235"/>
      <c r="M162" s="235"/>
      <c r="N162" s="169"/>
      <c r="O162" s="169"/>
      <c r="P162" s="169"/>
      <c r="Q162" s="175"/>
      <c r="R162" s="175"/>
      <c r="S162" s="175"/>
      <c r="T162" s="180"/>
      <c r="U162" s="122"/>
      <c r="V162" s="122"/>
      <c r="W162" s="122"/>
      <c r="X162" s="122"/>
      <c r="Y162" s="184"/>
      <c r="Z162" s="184"/>
      <c r="AA162" s="184"/>
      <c r="AB162" s="184"/>
      <c r="AC162" s="184"/>
      <c r="AD162" s="184"/>
      <c r="AE162" s="184"/>
      <c r="AF162" s="125" t="str">
        <f t="shared" si="13"/>
        <v/>
      </c>
      <c r="AG162" s="125" t="str">
        <f t="shared" si="14"/>
        <v/>
      </c>
      <c r="AH162" s="125" t="str">
        <f t="shared" si="15"/>
        <v/>
      </c>
      <c r="AI162" s="125" t="str">
        <f t="shared" si="16"/>
        <v/>
      </c>
    </row>
    <row r="163" spans="1:35">
      <c r="A163" s="4">
        <v>159</v>
      </c>
      <c r="B163" s="32" t="s">
        <v>55</v>
      </c>
      <c r="C163" s="34"/>
      <c r="D163" s="37" t="s">
        <v>56</v>
      </c>
      <c r="E163" s="35"/>
      <c r="F163" s="24"/>
      <c r="G163" s="163"/>
      <c r="H163" s="163"/>
      <c r="I163" s="163"/>
      <c r="J163" s="163"/>
      <c r="K163" s="169"/>
      <c r="L163" s="235"/>
      <c r="M163" s="235"/>
      <c r="N163" s="169"/>
      <c r="O163" s="169"/>
      <c r="P163" s="169"/>
      <c r="Q163" s="175"/>
      <c r="R163" s="175"/>
      <c r="S163" s="175"/>
      <c r="T163" s="180"/>
      <c r="U163" s="122"/>
      <c r="V163" s="122"/>
      <c r="W163" s="122"/>
      <c r="X163" s="122"/>
      <c r="Y163" s="184"/>
      <c r="Z163" s="184"/>
      <c r="AA163" s="184"/>
      <c r="AB163" s="184"/>
      <c r="AC163" s="184"/>
      <c r="AD163" s="184"/>
      <c r="AE163" s="184"/>
      <c r="AF163" s="125" t="str">
        <f t="shared" si="13"/>
        <v/>
      </c>
      <c r="AG163" s="125" t="str">
        <f t="shared" si="14"/>
        <v/>
      </c>
      <c r="AH163" s="125" t="str">
        <f t="shared" si="15"/>
        <v/>
      </c>
      <c r="AI163" s="125" t="str">
        <f t="shared" si="16"/>
        <v/>
      </c>
    </row>
    <row r="164" spans="1:35">
      <c r="A164" s="4">
        <v>160</v>
      </c>
      <c r="B164" s="32" t="s">
        <v>55</v>
      </c>
      <c r="C164" s="34"/>
      <c r="D164" s="37" t="s">
        <v>56</v>
      </c>
      <c r="E164" s="35"/>
      <c r="F164" s="24"/>
      <c r="G164" s="163"/>
      <c r="H164" s="163"/>
      <c r="I164" s="163"/>
      <c r="J164" s="163"/>
      <c r="K164" s="169"/>
      <c r="L164" s="235"/>
      <c r="M164" s="235"/>
      <c r="N164" s="169"/>
      <c r="O164" s="169"/>
      <c r="P164" s="169"/>
      <c r="Q164" s="175"/>
      <c r="R164" s="175"/>
      <c r="S164" s="175"/>
      <c r="T164" s="180"/>
      <c r="U164" s="122"/>
      <c r="V164" s="122"/>
      <c r="W164" s="122"/>
      <c r="X164" s="122"/>
      <c r="Y164" s="184"/>
      <c r="Z164" s="184"/>
      <c r="AA164" s="184"/>
      <c r="AB164" s="184"/>
      <c r="AC164" s="184"/>
      <c r="AD164" s="184"/>
      <c r="AE164" s="184"/>
      <c r="AF164" s="125" t="str">
        <f t="shared" si="13"/>
        <v/>
      </c>
      <c r="AG164" s="125" t="str">
        <f t="shared" si="14"/>
        <v/>
      </c>
      <c r="AH164" s="125" t="str">
        <f t="shared" si="15"/>
        <v/>
      </c>
      <c r="AI164" s="125" t="str">
        <f t="shared" si="16"/>
        <v/>
      </c>
    </row>
    <row r="165" spans="1:35">
      <c r="A165" s="4">
        <v>161</v>
      </c>
      <c r="B165" s="32" t="s">
        <v>55</v>
      </c>
      <c r="C165" s="34"/>
      <c r="D165" s="37" t="s">
        <v>56</v>
      </c>
      <c r="E165" s="35"/>
      <c r="F165" s="24"/>
      <c r="G165" s="163"/>
      <c r="H165" s="163"/>
      <c r="I165" s="163"/>
      <c r="J165" s="163"/>
      <c r="K165" s="169"/>
      <c r="L165" s="235"/>
      <c r="M165" s="235"/>
      <c r="N165" s="169"/>
      <c r="O165" s="169"/>
      <c r="P165" s="169"/>
      <c r="Q165" s="175"/>
      <c r="R165" s="175"/>
      <c r="S165" s="175"/>
      <c r="T165" s="180"/>
      <c r="U165" s="122"/>
      <c r="V165" s="122"/>
      <c r="W165" s="122"/>
      <c r="X165" s="122"/>
      <c r="Y165" s="184"/>
      <c r="Z165" s="184"/>
      <c r="AA165" s="184"/>
      <c r="AB165" s="184"/>
      <c r="AC165" s="184"/>
      <c r="AD165" s="184"/>
      <c r="AE165" s="184"/>
      <c r="AF165" s="125" t="str">
        <f t="shared" si="13"/>
        <v/>
      </c>
      <c r="AG165" s="125" t="str">
        <f t="shared" si="14"/>
        <v/>
      </c>
      <c r="AH165" s="125" t="str">
        <f t="shared" si="15"/>
        <v/>
      </c>
      <c r="AI165" s="125" t="str">
        <f t="shared" si="16"/>
        <v/>
      </c>
    </row>
    <row r="166" spans="1:35">
      <c r="A166" s="4">
        <v>162</v>
      </c>
      <c r="B166" s="32" t="s">
        <v>55</v>
      </c>
      <c r="C166" s="34"/>
      <c r="D166" s="37" t="s">
        <v>56</v>
      </c>
      <c r="E166" s="35"/>
      <c r="F166" s="24"/>
      <c r="G166" s="163"/>
      <c r="H166" s="163"/>
      <c r="I166" s="163"/>
      <c r="J166" s="163"/>
      <c r="K166" s="169"/>
      <c r="L166" s="235"/>
      <c r="M166" s="235"/>
      <c r="N166" s="169"/>
      <c r="O166" s="169"/>
      <c r="P166" s="169"/>
      <c r="Q166" s="175"/>
      <c r="R166" s="175"/>
      <c r="S166" s="175"/>
      <c r="T166" s="180"/>
      <c r="U166" s="122"/>
      <c r="V166" s="122"/>
      <c r="W166" s="122"/>
      <c r="X166" s="122"/>
      <c r="Y166" s="184"/>
      <c r="Z166" s="184"/>
      <c r="AA166" s="184"/>
      <c r="AB166" s="184"/>
      <c r="AC166" s="184"/>
      <c r="AD166" s="184"/>
      <c r="AE166" s="184"/>
      <c r="AF166" s="125" t="str">
        <f t="shared" si="13"/>
        <v/>
      </c>
      <c r="AG166" s="125" t="str">
        <f t="shared" si="14"/>
        <v/>
      </c>
      <c r="AH166" s="125" t="str">
        <f t="shared" si="15"/>
        <v/>
      </c>
      <c r="AI166" s="125" t="str">
        <f t="shared" si="16"/>
        <v/>
      </c>
    </row>
    <row r="167" spans="1:35">
      <c r="A167" s="4">
        <v>163</v>
      </c>
      <c r="B167" s="32" t="s">
        <v>55</v>
      </c>
      <c r="C167" s="34"/>
      <c r="D167" s="37" t="s">
        <v>56</v>
      </c>
      <c r="E167" s="35"/>
      <c r="F167" s="24"/>
      <c r="G167" s="163"/>
      <c r="H167" s="163"/>
      <c r="I167" s="163"/>
      <c r="J167" s="163"/>
      <c r="K167" s="169"/>
      <c r="L167" s="235"/>
      <c r="M167" s="235"/>
      <c r="N167" s="169"/>
      <c r="O167" s="169"/>
      <c r="P167" s="169"/>
      <c r="Q167" s="175"/>
      <c r="R167" s="175"/>
      <c r="S167" s="175"/>
      <c r="T167" s="180"/>
      <c r="U167" s="122"/>
      <c r="V167" s="122"/>
      <c r="W167" s="122"/>
      <c r="X167" s="122"/>
      <c r="Y167" s="184"/>
      <c r="Z167" s="184"/>
      <c r="AA167" s="184"/>
      <c r="AB167" s="184"/>
      <c r="AC167" s="184"/>
      <c r="AD167" s="184"/>
      <c r="AE167" s="184"/>
      <c r="AF167" s="125" t="str">
        <f t="shared" si="13"/>
        <v/>
      </c>
      <c r="AG167" s="125" t="str">
        <f t="shared" si="14"/>
        <v/>
      </c>
      <c r="AH167" s="125" t="str">
        <f t="shared" si="15"/>
        <v/>
      </c>
      <c r="AI167" s="125" t="str">
        <f t="shared" si="16"/>
        <v/>
      </c>
    </row>
    <row r="168" spans="1:35" s="27" customFormat="1">
      <c r="A168" s="4">
        <v>164</v>
      </c>
      <c r="B168" s="32" t="s">
        <v>55</v>
      </c>
      <c r="C168" s="34"/>
      <c r="D168" s="37" t="s">
        <v>56</v>
      </c>
      <c r="E168" s="35"/>
      <c r="F168" s="24"/>
      <c r="G168" s="163"/>
      <c r="H168" s="163"/>
      <c r="I168" s="163"/>
      <c r="J168" s="163"/>
      <c r="K168" s="169"/>
      <c r="L168" s="235"/>
      <c r="M168" s="235"/>
      <c r="N168" s="169"/>
      <c r="O168" s="169"/>
      <c r="P168" s="169"/>
      <c r="Q168" s="175"/>
      <c r="R168" s="175"/>
      <c r="S168" s="175"/>
      <c r="T168" s="180"/>
      <c r="U168" s="122"/>
      <c r="V168" s="122"/>
      <c r="W168" s="122"/>
      <c r="X168" s="122"/>
      <c r="Y168" s="184"/>
      <c r="Z168" s="184"/>
      <c r="AA168" s="184"/>
      <c r="AB168" s="184"/>
      <c r="AC168" s="184"/>
      <c r="AD168" s="184"/>
      <c r="AE168" s="184"/>
      <c r="AF168" s="125" t="str">
        <f t="shared" si="13"/>
        <v/>
      </c>
      <c r="AG168" s="125" t="str">
        <f t="shared" si="14"/>
        <v/>
      </c>
      <c r="AH168" s="125" t="str">
        <f t="shared" si="15"/>
        <v/>
      </c>
      <c r="AI168" s="125" t="str">
        <f t="shared" si="16"/>
        <v/>
      </c>
    </row>
    <row r="169" spans="1:35">
      <c r="A169" s="4">
        <v>165</v>
      </c>
      <c r="B169" s="32" t="s">
        <v>55</v>
      </c>
      <c r="C169" s="34"/>
      <c r="D169" s="37" t="s">
        <v>56</v>
      </c>
      <c r="E169" s="35"/>
      <c r="F169" s="24"/>
      <c r="G169" s="163"/>
      <c r="H169" s="163"/>
      <c r="I169" s="163"/>
      <c r="J169" s="163"/>
      <c r="K169" s="169"/>
      <c r="L169" s="235"/>
      <c r="M169" s="235"/>
      <c r="N169" s="169"/>
      <c r="O169" s="169"/>
      <c r="P169" s="169"/>
      <c r="Q169" s="175"/>
      <c r="R169" s="175"/>
      <c r="S169" s="175"/>
      <c r="T169" s="180"/>
      <c r="U169" s="122"/>
      <c r="V169" s="122"/>
      <c r="W169" s="122"/>
      <c r="X169" s="122"/>
      <c r="Y169" s="184"/>
      <c r="Z169" s="184"/>
      <c r="AA169" s="184"/>
      <c r="AB169" s="184"/>
      <c r="AC169" s="184"/>
      <c r="AD169" s="184"/>
      <c r="AE169" s="184"/>
      <c r="AF169" s="125" t="str">
        <f t="shared" si="13"/>
        <v/>
      </c>
      <c r="AG169" s="125" t="str">
        <f t="shared" si="14"/>
        <v/>
      </c>
      <c r="AH169" s="125" t="str">
        <f t="shared" si="15"/>
        <v/>
      </c>
      <c r="AI169" s="125" t="str">
        <f t="shared" si="16"/>
        <v/>
      </c>
    </row>
    <row r="170" spans="1:35">
      <c r="A170" s="4">
        <v>166</v>
      </c>
      <c r="B170" s="32" t="s">
        <v>55</v>
      </c>
      <c r="C170" s="34"/>
      <c r="D170" s="37" t="s">
        <v>56</v>
      </c>
      <c r="E170" s="35"/>
      <c r="F170" s="24"/>
      <c r="G170" s="163"/>
      <c r="H170" s="163"/>
      <c r="I170" s="163"/>
      <c r="J170" s="163"/>
      <c r="K170" s="169"/>
      <c r="L170" s="235"/>
      <c r="M170" s="235"/>
      <c r="N170" s="169"/>
      <c r="O170" s="169"/>
      <c r="P170" s="169"/>
      <c r="Q170" s="175"/>
      <c r="R170" s="175"/>
      <c r="S170" s="175"/>
      <c r="T170" s="180"/>
      <c r="U170" s="122"/>
      <c r="V170" s="122"/>
      <c r="W170" s="122"/>
      <c r="X170" s="122"/>
      <c r="Y170" s="184"/>
      <c r="Z170" s="184"/>
      <c r="AA170" s="184"/>
      <c r="AB170" s="184"/>
      <c r="AC170" s="184"/>
      <c r="AD170" s="184"/>
      <c r="AE170" s="184"/>
      <c r="AF170" s="125" t="str">
        <f t="shared" si="13"/>
        <v/>
      </c>
      <c r="AG170" s="125" t="str">
        <f t="shared" si="14"/>
        <v/>
      </c>
      <c r="AH170" s="125" t="str">
        <f t="shared" si="15"/>
        <v/>
      </c>
      <c r="AI170" s="125" t="str">
        <f t="shared" si="16"/>
        <v/>
      </c>
    </row>
    <row r="171" spans="1:35">
      <c r="A171" s="4">
        <v>167</v>
      </c>
      <c r="B171" s="32" t="s">
        <v>55</v>
      </c>
      <c r="C171" s="34"/>
      <c r="D171" s="37" t="s">
        <v>56</v>
      </c>
      <c r="E171" s="35"/>
      <c r="F171" s="24"/>
      <c r="G171" s="163"/>
      <c r="H171" s="163"/>
      <c r="I171" s="163"/>
      <c r="J171" s="163"/>
      <c r="K171" s="169"/>
      <c r="L171" s="235"/>
      <c r="M171" s="235"/>
      <c r="N171" s="169"/>
      <c r="O171" s="169"/>
      <c r="P171" s="169"/>
      <c r="Q171" s="175"/>
      <c r="R171" s="175"/>
      <c r="S171" s="175"/>
      <c r="T171" s="180"/>
      <c r="U171" s="122"/>
      <c r="V171" s="122"/>
      <c r="W171" s="122"/>
      <c r="X171" s="122"/>
      <c r="Y171" s="184"/>
      <c r="Z171" s="184"/>
      <c r="AA171" s="184"/>
      <c r="AB171" s="184"/>
      <c r="AC171" s="184"/>
      <c r="AD171" s="184"/>
      <c r="AE171" s="184"/>
      <c r="AF171" s="125" t="str">
        <f t="shared" si="13"/>
        <v/>
      </c>
      <c r="AG171" s="125" t="str">
        <f t="shared" si="14"/>
        <v/>
      </c>
      <c r="AH171" s="125" t="str">
        <f t="shared" si="15"/>
        <v/>
      </c>
      <c r="AI171" s="125" t="str">
        <f t="shared" si="16"/>
        <v/>
      </c>
    </row>
    <row r="172" spans="1:35">
      <c r="A172" s="4">
        <v>168</v>
      </c>
      <c r="B172" s="32" t="s">
        <v>55</v>
      </c>
      <c r="C172" s="34"/>
      <c r="D172" s="37" t="s">
        <v>56</v>
      </c>
      <c r="E172" s="35"/>
      <c r="F172" s="24"/>
      <c r="G172" s="163"/>
      <c r="H172" s="163"/>
      <c r="I172" s="163"/>
      <c r="J172" s="163"/>
      <c r="K172" s="169"/>
      <c r="L172" s="235"/>
      <c r="M172" s="235"/>
      <c r="N172" s="169"/>
      <c r="O172" s="169"/>
      <c r="P172" s="169"/>
      <c r="Q172" s="175"/>
      <c r="R172" s="175"/>
      <c r="S172" s="175"/>
      <c r="T172" s="180"/>
      <c r="U172" s="122"/>
      <c r="V172" s="122"/>
      <c r="W172" s="122"/>
      <c r="X172" s="122"/>
      <c r="Y172" s="184"/>
      <c r="Z172" s="184"/>
      <c r="AA172" s="184"/>
      <c r="AB172" s="184"/>
      <c r="AC172" s="184"/>
      <c r="AD172" s="184"/>
      <c r="AE172" s="184"/>
      <c r="AF172" s="125" t="str">
        <f t="shared" si="13"/>
        <v/>
      </c>
      <c r="AG172" s="125" t="str">
        <f t="shared" si="14"/>
        <v/>
      </c>
      <c r="AH172" s="125" t="str">
        <f t="shared" si="15"/>
        <v/>
      </c>
      <c r="AI172" s="125" t="str">
        <f t="shared" si="16"/>
        <v/>
      </c>
    </row>
    <row r="173" spans="1:35">
      <c r="A173" s="4">
        <v>169</v>
      </c>
      <c r="B173" s="32" t="s">
        <v>55</v>
      </c>
      <c r="C173" s="34"/>
      <c r="D173" s="37" t="s">
        <v>56</v>
      </c>
      <c r="E173" s="35"/>
      <c r="F173" s="24"/>
      <c r="G173" s="163"/>
      <c r="H173" s="163"/>
      <c r="I173" s="163"/>
      <c r="J173" s="163"/>
      <c r="K173" s="169"/>
      <c r="L173" s="235"/>
      <c r="M173" s="235"/>
      <c r="N173" s="169"/>
      <c r="O173" s="169"/>
      <c r="P173" s="169"/>
      <c r="Q173" s="175"/>
      <c r="R173" s="175"/>
      <c r="S173" s="175"/>
      <c r="T173" s="180"/>
      <c r="U173" s="122"/>
      <c r="V173" s="122"/>
      <c r="W173" s="122"/>
      <c r="X173" s="122"/>
      <c r="Y173" s="184"/>
      <c r="Z173" s="184"/>
      <c r="AA173" s="184"/>
      <c r="AB173" s="184"/>
      <c r="AC173" s="184"/>
      <c r="AD173" s="184"/>
      <c r="AE173" s="184"/>
      <c r="AF173" s="125" t="str">
        <f t="shared" si="13"/>
        <v/>
      </c>
      <c r="AG173" s="125" t="str">
        <f t="shared" si="14"/>
        <v/>
      </c>
      <c r="AH173" s="125" t="str">
        <f t="shared" si="15"/>
        <v/>
      </c>
      <c r="AI173" s="125" t="str">
        <f t="shared" si="16"/>
        <v/>
      </c>
    </row>
    <row r="174" spans="1:35">
      <c r="A174" s="4">
        <v>170</v>
      </c>
      <c r="B174" s="32" t="s">
        <v>55</v>
      </c>
      <c r="C174" s="34"/>
      <c r="D174" s="37" t="s">
        <v>56</v>
      </c>
      <c r="E174" s="35"/>
      <c r="F174" s="24"/>
      <c r="G174" s="163"/>
      <c r="H174" s="163"/>
      <c r="I174" s="163"/>
      <c r="J174" s="163"/>
      <c r="K174" s="169"/>
      <c r="L174" s="235"/>
      <c r="M174" s="235"/>
      <c r="N174" s="169"/>
      <c r="O174" s="169"/>
      <c r="P174" s="169"/>
      <c r="Q174" s="175"/>
      <c r="R174" s="175"/>
      <c r="S174" s="175"/>
      <c r="T174" s="180"/>
      <c r="U174" s="122"/>
      <c r="V174" s="122"/>
      <c r="W174" s="122"/>
      <c r="X174" s="122"/>
      <c r="Y174" s="184"/>
      <c r="Z174" s="184"/>
      <c r="AA174" s="184"/>
      <c r="AB174" s="184"/>
      <c r="AC174" s="184"/>
      <c r="AD174" s="184"/>
      <c r="AE174" s="184"/>
      <c r="AF174" s="125" t="str">
        <f t="shared" si="13"/>
        <v/>
      </c>
      <c r="AG174" s="125" t="str">
        <f t="shared" si="14"/>
        <v/>
      </c>
      <c r="AH174" s="125" t="str">
        <f t="shared" si="15"/>
        <v/>
      </c>
      <c r="AI174" s="125" t="str">
        <f t="shared" si="16"/>
        <v/>
      </c>
    </row>
    <row r="175" spans="1:35" s="27" customFormat="1">
      <c r="A175" s="4">
        <v>171</v>
      </c>
      <c r="B175" s="32" t="s">
        <v>55</v>
      </c>
      <c r="C175" s="34"/>
      <c r="D175" s="37" t="s">
        <v>56</v>
      </c>
      <c r="E175" s="35"/>
      <c r="F175" s="24"/>
      <c r="G175" s="163"/>
      <c r="H175" s="163"/>
      <c r="I175" s="163"/>
      <c r="J175" s="163"/>
      <c r="K175" s="169"/>
      <c r="L175" s="235"/>
      <c r="M175" s="235"/>
      <c r="N175" s="169"/>
      <c r="O175" s="169"/>
      <c r="P175" s="169"/>
      <c r="Q175" s="175"/>
      <c r="R175" s="175"/>
      <c r="S175" s="175"/>
      <c r="T175" s="180"/>
      <c r="U175" s="122"/>
      <c r="V175" s="122"/>
      <c r="W175" s="122"/>
      <c r="X175" s="122"/>
      <c r="Y175" s="184"/>
      <c r="Z175" s="184"/>
      <c r="AA175" s="184"/>
      <c r="AB175" s="184"/>
      <c r="AC175" s="184"/>
      <c r="AD175" s="184"/>
      <c r="AE175" s="184"/>
      <c r="AF175" s="125" t="str">
        <f t="shared" si="13"/>
        <v/>
      </c>
      <c r="AG175" s="125" t="str">
        <f t="shared" si="14"/>
        <v/>
      </c>
      <c r="AH175" s="125" t="str">
        <f t="shared" si="15"/>
        <v/>
      </c>
      <c r="AI175" s="125" t="str">
        <f t="shared" si="16"/>
        <v/>
      </c>
    </row>
    <row r="176" spans="1:35">
      <c r="A176" s="4">
        <v>172</v>
      </c>
      <c r="B176" s="32" t="s">
        <v>55</v>
      </c>
      <c r="C176" s="34"/>
      <c r="D176" s="37" t="s">
        <v>56</v>
      </c>
      <c r="E176" s="35"/>
      <c r="F176" s="24"/>
      <c r="G176" s="163"/>
      <c r="H176" s="163"/>
      <c r="I176" s="163"/>
      <c r="J176" s="163"/>
      <c r="K176" s="169"/>
      <c r="L176" s="235"/>
      <c r="M176" s="235"/>
      <c r="N176" s="169"/>
      <c r="O176" s="169"/>
      <c r="P176" s="169"/>
      <c r="Q176" s="175"/>
      <c r="R176" s="175"/>
      <c r="S176" s="175"/>
      <c r="T176" s="180"/>
      <c r="U176" s="122"/>
      <c r="V176" s="122"/>
      <c r="W176" s="122"/>
      <c r="X176" s="122"/>
      <c r="Y176" s="184"/>
      <c r="Z176" s="184"/>
      <c r="AA176" s="184"/>
      <c r="AB176" s="184"/>
      <c r="AC176" s="184"/>
      <c r="AD176" s="184"/>
      <c r="AE176" s="184"/>
      <c r="AF176" s="125" t="str">
        <f t="shared" si="13"/>
        <v/>
      </c>
      <c r="AG176" s="125" t="str">
        <f t="shared" si="14"/>
        <v/>
      </c>
      <c r="AH176" s="125" t="str">
        <f t="shared" si="15"/>
        <v/>
      </c>
      <c r="AI176" s="125" t="str">
        <f t="shared" si="16"/>
        <v/>
      </c>
    </row>
    <row r="177" spans="1:35">
      <c r="A177" s="4">
        <v>173</v>
      </c>
      <c r="B177" s="32" t="s">
        <v>55</v>
      </c>
      <c r="C177" s="34"/>
      <c r="D177" s="37" t="s">
        <v>56</v>
      </c>
      <c r="E177" s="35"/>
      <c r="F177" s="24"/>
      <c r="G177" s="163"/>
      <c r="H177" s="163"/>
      <c r="I177" s="163"/>
      <c r="J177" s="163"/>
      <c r="K177" s="169"/>
      <c r="L177" s="235"/>
      <c r="M177" s="235"/>
      <c r="N177" s="169"/>
      <c r="O177" s="169"/>
      <c r="P177" s="169"/>
      <c r="Q177" s="175"/>
      <c r="R177" s="175"/>
      <c r="S177" s="175"/>
      <c r="T177" s="180"/>
      <c r="U177" s="122"/>
      <c r="V177" s="122"/>
      <c r="W177" s="122"/>
      <c r="X177" s="122"/>
      <c r="Y177" s="184"/>
      <c r="Z177" s="184"/>
      <c r="AA177" s="184"/>
      <c r="AB177" s="184"/>
      <c r="AC177" s="184"/>
      <c r="AD177" s="184"/>
      <c r="AE177" s="184"/>
      <c r="AF177" s="125" t="str">
        <f t="shared" si="13"/>
        <v/>
      </c>
      <c r="AG177" s="125" t="str">
        <f t="shared" si="14"/>
        <v/>
      </c>
      <c r="AH177" s="125" t="str">
        <f t="shared" si="15"/>
        <v/>
      </c>
      <c r="AI177" s="125" t="str">
        <f t="shared" si="16"/>
        <v/>
      </c>
    </row>
    <row r="178" spans="1:35">
      <c r="A178" s="4">
        <v>174</v>
      </c>
      <c r="B178" s="32" t="s">
        <v>55</v>
      </c>
      <c r="C178" s="34"/>
      <c r="D178" s="37" t="s">
        <v>56</v>
      </c>
      <c r="E178" s="35"/>
      <c r="F178" s="24"/>
      <c r="G178" s="163"/>
      <c r="H178" s="163"/>
      <c r="I178" s="163"/>
      <c r="J178" s="163"/>
      <c r="K178" s="169"/>
      <c r="L178" s="235"/>
      <c r="M178" s="235"/>
      <c r="N178" s="169"/>
      <c r="O178" s="169"/>
      <c r="P178" s="169"/>
      <c r="Q178" s="175"/>
      <c r="R178" s="175"/>
      <c r="S178" s="175"/>
      <c r="T178" s="180"/>
      <c r="U178" s="122"/>
      <c r="V178" s="122"/>
      <c r="W178" s="122"/>
      <c r="X178" s="122"/>
      <c r="Y178" s="184"/>
      <c r="Z178" s="184"/>
      <c r="AA178" s="184"/>
      <c r="AB178" s="184"/>
      <c r="AC178" s="184"/>
      <c r="AD178" s="184"/>
      <c r="AE178" s="184"/>
      <c r="AF178" s="125" t="str">
        <f t="shared" si="13"/>
        <v/>
      </c>
      <c r="AG178" s="125" t="str">
        <f t="shared" si="14"/>
        <v/>
      </c>
      <c r="AH178" s="125" t="str">
        <f t="shared" si="15"/>
        <v/>
      </c>
      <c r="AI178" s="125" t="str">
        <f t="shared" si="16"/>
        <v/>
      </c>
    </row>
    <row r="179" spans="1:35">
      <c r="A179" s="4">
        <v>175</v>
      </c>
      <c r="B179" s="32" t="s">
        <v>55</v>
      </c>
      <c r="C179" s="34"/>
      <c r="D179" s="37" t="s">
        <v>56</v>
      </c>
      <c r="E179" s="35"/>
      <c r="F179" s="24"/>
      <c r="G179" s="163"/>
      <c r="H179" s="163"/>
      <c r="I179" s="163"/>
      <c r="J179" s="163"/>
      <c r="K179" s="169"/>
      <c r="L179" s="235"/>
      <c r="M179" s="235"/>
      <c r="N179" s="169"/>
      <c r="O179" s="169"/>
      <c r="P179" s="169"/>
      <c r="Q179" s="175"/>
      <c r="R179" s="175"/>
      <c r="S179" s="175"/>
      <c r="T179" s="180"/>
      <c r="U179" s="122"/>
      <c r="V179" s="122"/>
      <c r="W179" s="122"/>
      <c r="X179" s="122"/>
      <c r="Y179" s="184"/>
      <c r="Z179" s="184"/>
      <c r="AA179" s="184"/>
      <c r="AB179" s="184"/>
      <c r="AC179" s="184"/>
      <c r="AD179" s="184"/>
      <c r="AE179" s="184"/>
      <c r="AF179" s="125" t="str">
        <f t="shared" si="13"/>
        <v/>
      </c>
      <c r="AG179" s="125" t="str">
        <f t="shared" si="14"/>
        <v/>
      </c>
      <c r="AH179" s="125" t="str">
        <f t="shared" si="15"/>
        <v/>
      </c>
      <c r="AI179" s="125" t="str">
        <f t="shared" si="16"/>
        <v/>
      </c>
    </row>
    <row r="180" spans="1:35" s="27" customFormat="1">
      <c r="A180" s="4">
        <v>176</v>
      </c>
      <c r="B180" s="32" t="s">
        <v>55</v>
      </c>
      <c r="C180" s="34"/>
      <c r="D180" s="37" t="s">
        <v>56</v>
      </c>
      <c r="E180" s="35"/>
      <c r="F180" s="24"/>
      <c r="G180" s="163"/>
      <c r="H180" s="163"/>
      <c r="I180" s="163"/>
      <c r="J180" s="163"/>
      <c r="K180" s="169"/>
      <c r="L180" s="235"/>
      <c r="M180" s="235"/>
      <c r="N180" s="169"/>
      <c r="O180" s="169"/>
      <c r="P180" s="169"/>
      <c r="Q180" s="175"/>
      <c r="R180" s="175"/>
      <c r="S180" s="175"/>
      <c r="T180" s="180"/>
      <c r="U180" s="122"/>
      <c r="V180" s="122"/>
      <c r="W180" s="122"/>
      <c r="X180" s="122"/>
      <c r="Y180" s="184"/>
      <c r="Z180" s="184"/>
      <c r="AA180" s="184"/>
      <c r="AB180" s="184"/>
      <c r="AC180" s="184"/>
      <c r="AD180" s="184"/>
      <c r="AE180" s="184"/>
      <c r="AF180" s="125" t="str">
        <f t="shared" si="13"/>
        <v/>
      </c>
      <c r="AG180" s="125" t="str">
        <f t="shared" si="14"/>
        <v/>
      </c>
      <c r="AH180" s="125" t="str">
        <f t="shared" si="15"/>
        <v/>
      </c>
      <c r="AI180" s="125" t="str">
        <f t="shared" si="16"/>
        <v/>
      </c>
    </row>
    <row r="181" spans="1:35" s="27" customFormat="1">
      <c r="A181" s="4">
        <v>177</v>
      </c>
      <c r="B181" s="32" t="s">
        <v>55</v>
      </c>
      <c r="C181" s="34"/>
      <c r="D181" s="37" t="s">
        <v>56</v>
      </c>
      <c r="E181" s="35"/>
      <c r="F181" s="24"/>
      <c r="G181" s="163"/>
      <c r="H181" s="163"/>
      <c r="I181" s="163"/>
      <c r="J181" s="163"/>
      <c r="K181" s="169"/>
      <c r="L181" s="235"/>
      <c r="M181" s="235"/>
      <c r="N181" s="169"/>
      <c r="O181" s="169"/>
      <c r="P181" s="169"/>
      <c r="Q181" s="175"/>
      <c r="R181" s="175"/>
      <c r="S181" s="175"/>
      <c r="T181" s="180"/>
      <c r="U181" s="122"/>
      <c r="V181" s="122"/>
      <c r="W181" s="122"/>
      <c r="X181" s="122"/>
      <c r="Y181" s="184"/>
      <c r="Z181" s="184"/>
      <c r="AA181" s="184"/>
      <c r="AB181" s="184"/>
      <c r="AC181" s="184"/>
      <c r="AD181" s="184"/>
      <c r="AE181" s="184"/>
      <c r="AF181" s="125" t="str">
        <f t="shared" si="13"/>
        <v/>
      </c>
      <c r="AG181" s="125" t="str">
        <f t="shared" si="14"/>
        <v/>
      </c>
      <c r="AH181" s="125" t="str">
        <f t="shared" si="15"/>
        <v/>
      </c>
      <c r="AI181" s="125" t="str">
        <f t="shared" si="16"/>
        <v/>
      </c>
    </row>
    <row r="182" spans="1:35">
      <c r="A182" s="4">
        <v>178</v>
      </c>
      <c r="B182" s="32" t="s">
        <v>55</v>
      </c>
      <c r="C182" s="34"/>
      <c r="D182" s="37" t="s">
        <v>56</v>
      </c>
      <c r="E182" s="35"/>
      <c r="F182" s="24"/>
      <c r="G182" s="163"/>
      <c r="H182" s="163"/>
      <c r="I182" s="163"/>
      <c r="J182" s="163"/>
      <c r="K182" s="169"/>
      <c r="L182" s="235"/>
      <c r="M182" s="235"/>
      <c r="N182" s="169"/>
      <c r="O182" s="169"/>
      <c r="P182" s="169"/>
      <c r="Q182" s="175"/>
      <c r="R182" s="175"/>
      <c r="S182" s="175"/>
      <c r="T182" s="180"/>
      <c r="U182" s="122"/>
      <c r="V182" s="122"/>
      <c r="W182" s="122"/>
      <c r="X182" s="122"/>
      <c r="Y182" s="184"/>
      <c r="Z182" s="184"/>
      <c r="AA182" s="184"/>
      <c r="AB182" s="184"/>
      <c r="AC182" s="184"/>
      <c r="AD182" s="184"/>
      <c r="AE182" s="184"/>
      <c r="AF182" s="125" t="str">
        <f t="shared" si="13"/>
        <v/>
      </c>
      <c r="AG182" s="125" t="str">
        <f t="shared" si="14"/>
        <v/>
      </c>
      <c r="AH182" s="125" t="str">
        <f t="shared" si="15"/>
        <v/>
      </c>
      <c r="AI182" s="125" t="str">
        <f t="shared" si="16"/>
        <v/>
      </c>
    </row>
    <row r="183" spans="1:35">
      <c r="A183" s="4">
        <v>179</v>
      </c>
      <c r="B183" s="32" t="s">
        <v>55</v>
      </c>
      <c r="C183" s="34"/>
      <c r="D183" s="37" t="s">
        <v>56</v>
      </c>
      <c r="E183" s="35"/>
      <c r="F183" s="24"/>
      <c r="G183" s="163"/>
      <c r="H183" s="163"/>
      <c r="I183" s="163"/>
      <c r="J183" s="163"/>
      <c r="K183" s="169"/>
      <c r="L183" s="235"/>
      <c r="M183" s="235"/>
      <c r="N183" s="169"/>
      <c r="O183" s="169"/>
      <c r="P183" s="169"/>
      <c r="Q183" s="175"/>
      <c r="R183" s="175"/>
      <c r="S183" s="175"/>
      <c r="T183" s="180"/>
      <c r="U183" s="122"/>
      <c r="V183" s="122"/>
      <c r="W183" s="122"/>
      <c r="X183" s="122"/>
      <c r="Y183" s="184"/>
      <c r="Z183" s="184"/>
      <c r="AA183" s="184"/>
      <c r="AB183" s="184"/>
      <c r="AC183" s="184"/>
      <c r="AD183" s="184"/>
      <c r="AE183" s="184"/>
      <c r="AF183" s="125" t="str">
        <f t="shared" si="13"/>
        <v/>
      </c>
      <c r="AG183" s="125" t="str">
        <f t="shared" si="14"/>
        <v/>
      </c>
      <c r="AH183" s="125" t="str">
        <f t="shared" si="15"/>
        <v/>
      </c>
      <c r="AI183" s="125" t="str">
        <f t="shared" si="16"/>
        <v/>
      </c>
    </row>
    <row r="184" spans="1:35" s="27" customFormat="1">
      <c r="A184" s="4">
        <v>180</v>
      </c>
      <c r="B184" s="32" t="s">
        <v>55</v>
      </c>
      <c r="C184" s="34"/>
      <c r="D184" s="37" t="s">
        <v>56</v>
      </c>
      <c r="E184" s="35"/>
      <c r="F184" s="24"/>
      <c r="G184" s="163"/>
      <c r="H184" s="163"/>
      <c r="I184" s="163"/>
      <c r="J184" s="163"/>
      <c r="K184" s="169"/>
      <c r="L184" s="235"/>
      <c r="M184" s="235"/>
      <c r="N184" s="169"/>
      <c r="O184" s="169"/>
      <c r="P184" s="169"/>
      <c r="Q184" s="175"/>
      <c r="R184" s="175"/>
      <c r="S184" s="175"/>
      <c r="T184" s="180"/>
      <c r="U184" s="122"/>
      <c r="V184" s="122"/>
      <c r="W184" s="122"/>
      <c r="X184" s="122"/>
      <c r="Y184" s="184"/>
      <c r="Z184" s="184"/>
      <c r="AA184" s="184"/>
      <c r="AB184" s="184"/>
      <c r="AC184" s="184"/>
      <c r="AD184" s="184"/>
      <c r="AE184" s="184"/>
      <c r="AF184" s="125" t="str">
        <f t="shared" si="13"/>
        <v/>
      </c>
      <c r="AG184" s="125" t="str">
        <f t="shared" si="14"/>
        <v/>
      </c>
      <c r="AH184" s="125" t="str">
        <f t="shared" si="15"/>
        <v/>
      </c>
      <c r="AI184" s="125" t="str">
        <f t="shared" si="16"/>
        <v/>
      </c>
    </row>
    <row r="185" spans="1:35">
      <c r="A185" s="4">
        <v>181</v>
      </c>
      <c r="B185" s="32" t="s">
        <v>55</v>
      </c>
      <c r="C185" s="34"/>
      <c r="D185" s="37" t="s">
        <v>56</v>
      </c>
      <c r="E185" s="35"/>
      <c r="F185" s="24"/>
      <c r="G185" s="163"/>
      <c r="H185" s="163"/>
      <c r="I185" s="163"/>
      <c r="J185" s="163"/>
      <c r="K185" s="169"/>
      <c r="L185" s="235"/>
      <c r="M185" s="235"/>
      <c r="N185" s="169"/>
      <c r="O185" s="169"/>
      <c r="P185" s="169"/>
      <c r="Q185" s="175"/>
      <c r="R185" s="175"/>
      <c r="S185" s="175"/>
      <c r="T185" s="180"/>
      <c r="U185" s="122"/>
      <c r="V185" s="122"/>
      <c r="W185" s="122"/>
      <c r="X185" s="122"/>
      <c r="Y185" s="184"/>
      <c r="Z185" s="184"/>
      <c r="AA185" s="184"/>
      <c r="AB185" s="184"/>
      <c r="AC185" s="184"/>
      <c r="AD185" s="184"/>
      <c r="AE185" s="184"/>
      <c r="AF185" s="125" t="str">
        <f t="shared" si="13"/>
        <v/>
      </c>
      <c r="AG185" s="125" t="str">
        <f t="shared" si="14"/>
        <v/>
      </c>
      <c r="AH185" s="125" t="str">
        <f t="shared" si="15"/>
        <v/>
      </c>
      <c r="AI185" s="125" t="str">
        <f t="shared" si="16"/>
        <v/>
      </c>
    </row>
    <row r="186" spans="1:35" s="27" customFormat="1">
      <c r="A186" s="4">
        <v>182</v>
      </c>
      <c r="B186" s="32" t="s">
        <v>55</v>
      </c>
      <c r="C186" s="34"/>
      <c r="D186" s="37" t="s">
        <v>56</v>
      </c>
      <c r="E186" s="35"/>
      <c r="F186" s="24"/>
      <c r="G186" s="163"/>
      <c r="H186" s="163"/>
      <c r="I186" s="163"/>
      <c r="J186" s="163"/>
      <c r="K186" s="169"/>
      <c r="L186" s="235"/>
      <c r="M186" s="235"/>
      <c r="N186" s="169"/>
      <c r="O186" s="169"/>
      <c r="P186" s="169"/>
      <c r="Q186" s="175"/>
      <c r="R186" s="175"/>
      <c r="S186" s="175"/>
      <c r="T186" s="180"/>
      <c r="U186" s="122"/>
      <c r="V186" s="122"/>
      <c r="W186" s="122"/>
      <c r="X186" s="122"/>
      <c r="Y186" s="184"/>
      <c r="Z186" s="184"/>
      <c r="AA186" s="184"/>
      <c r="AB186" s="184"/>
      <c r="AC186" s="184"/>
      <c r="AD186" s="184"/>
      <c r="AE186" s="184"/>
      <c r="AF186" s="125" t="str">
        <f t="shared" si="13"/>
        <v/>
      </c>
      <c r="AG186" s="125" t="str">
        <f t="shared" si="14"/>
        <v/>
      </c>
      <c r="AH186" s="125" t="str">
        <f t="shared" si="15"/>
        <v/>
      </c>
      <c r="AI186" s="125" t="str">
        <f t="shared" si="16"/>
        <v/>
      </c>
    </row>
    <row r="187" spans="1:35">
      <c r="A187" s="4">
        <v>183</v>
      </c>
      <c r="B187" s="32" t="s">
        <v>55</v>
      </c>
      <c r="C187" s="34"/>
      <c r="D187" s="37" t="s">
        <v>56</v>
      </c>
      <c r="E187" s="35"/>
      <c r="F187" s="24"/>
      <c r="G187" s="163"/>
      <c r="H187" s="163"/>
      <c r="I187" s="163"/>
      <c r="J187" s="163"/>
      <c r="K187" s="169"/>
      <c r="L187" s="235"/>
      <c r="M187" s="235"/>
      <c r="N187" s="169"/>
      <c r="O187" s="169"/>
      <c r="P187" s="169"/>
      <c r="Q187" s="175"/>
      <c r="R187" s="175"/>
      <c r="S187" s="175"/>
      <c r="T187" s="180"/>
      <c r="U187" s="122"/>
      <c r="V187" s="122"/>
      <c r="W187" s="122"/>
      <c r="X187" s="122"/>
      <c r="Y187" s="184"/>
      <c r="Z187" s="184"/>
      <c r="AA187" s="184"/>
      <c r="AB187" s="184"/>
      <c r="AC187" s="184"/>
      <c r="AD187" s="184"/>
      <c r="AE187" s="184"/>
      <c r="AF187" s="125" t="str">
        <f t="shared" si="13"/>
        <v/>
      </c>
      <c r="AG187" s="125" t="str">
        <f t="shared" si="14"/>
        <v/>
      </c>
      <c r="AH187" s="125" t="str">
        <f t="shared" si="15"/>
        <v/>
      </c>
      <c r="AI187" s="125" t="str">
        <f t="shared" si="16"/>
        <v/>
      </c>
    </row>
    <row r="188" spans="1:35">
      <c r="A188" s="4">
        <v>184</v>
      </c>
      <c r="B188" s="32" t="s">
        <v>55</v>
      </c>
      <c r="C188" s="34"/>
      <c r="D188" s="37" t="s">
        <v>56</v>
      </c>
      <c r="E188" s="35"/>
      <c r="F188" s="24"/>
      <c r="G188" s="163"/>
      <c r="H188" s="163"/>
      <c r="I188" s="163"/>
      <c r="J188" s="163"/>
      <c r="K188" s="169"/>
      <c r="L188" s="235"/>
      <c r="M188" s="235"/>
      <c r="N188" s="169"/>
      <c r="O188" s="169"/>
      <c r="P188" s="169"/>
      <c r="Q188" s="175"/>
      <c r="R188" s="175"/>
      <c r="S188" s="175"/>
      <c r="T188" s="180"/>
      <c r="U188" s="122"/>
      <c r="V188" s="122"/>
      <c r="W188" s="122"/>
      <c r="X188" s="122"/>
      <c r="Y188" s="184"/>
      <c r="Z188" s="184"/>
      <c r="AA188" s="184"/>
      <c r="AB188" s="184"/>
      <c r="AC188" s="184"/>
      <c r="AD188" s="184"/>
      <c r="AE188" s="184"/>
      <c r="AF188" s="125" t="str">
        <f t="shared" si="13"/>
        <v/>
      </c>
      <c r="AG188" s="125" t="str">
        <f t="shared" si="14"/>
        <v/>
      </c>
      <c r="AH188" s="125" t="str">
        <f t="shared" si="15"/>
        <v/>
      </c>
      <c r="AI188" s="125" t="str">
        <f t="shared" si="16"/>
        <v/>
      </c>
    </row>
    <row r="189" spans="1:35">
      <c r="A189" s="4">
        <v>185</v>
      </c>
      <c r="B189" s="32" t="s">
        <v>55</v>
      </c>
      <c r="C189" s="34"/>
      <c r="D189" s="37" t="s">
        <v>56</v>
      </c>
      <c r="E189" s="35"/>
      <c r="F189" s="24"/>
      <c r="G189" s="163"/>
      <c r="H189" s="163"/>
      <c r="I189" s="163"/>
      <c r="J189" s="163"/>
      <c r="K189" s="169"/>
      <c r="L189" s="235"/>
      <c r="M189" s="235"/>
      <c r="N189" s="169"/>
      <c r="O189" s="169"/>
      <c r="P189" s="169"/>
      <c r="Q189" s="175"/>
      <c r="R189" s="175"/>
      <c r="S189" s="175"/>
      <c r="T189" s="180"/>
      <c r="U189" s="122"/>
      <c r="V189" s="122"/>
      <c r="W189" s="122"/>
      <c r="X189" s="122"/>
      <c r="Y189" s="184"/>
      <c r="Z189" s="184"/>
      <c r="AA189" s="184"/>
      <c r="AB189" s="184"/>
      <c r="AC189" s="184"/>
      <c r="AD189" s="184"/>
      <c r="AE189" s="184"/>
      <c r="AF189" s="125" t="str">
        <f t="shared" si="13"/>
        <v/>
      </c>
      <c r="AG189" s="125" t="str">
        <f t="shared" si="14"/>
        <v/>
      </c>
      <c r="AH189" s="125" t="str">
        <f t="shared" si="15"/>
        <v/>
      </c>
      <c r="AI189" s="125" t="str">
        <f t="shared" si="16"/>
        <v/>
      </c>
    </row>
    <row r="190" spans="1:35" s="27" customFormat="1">
      <c r="A190" s="4">
        <v>186</v>
      </c>
      <c r="B190" s="32" t="s">
        <v>55</v>
      </c>
      <c r="C190" s="34"/>
      <c r="D190" s="37" t="s">
        <v>56</v>
      </c>
      <c r="E190" s="35"/>
      <c r="F190" s="24"/>
      <c r="G190" s="163"/>
      <c r="H190" s="163"/>
      <c r="I190" s="163"/>
      <c r="J190" s="163"/>
      <c r="K190" s="169"/>
      <c r="L190" s="235"/>
      <c r="M190" s="235"/>
      <c r="N190" s="169"/>
      <c r="O190" s="169"/>
      <c r="P190" s="169"/>
      <c r="Q190" s="175"/>
      <c r="R190" s="175"/>
      <c r="S190" s="175"/>
      <c r="T190" s="180"/>
      <c r="U190" s="122"/>
      <c r="V190" s="122"/>
      <c r="W190" s="122"/>
      <c r="X190" s="122"/>
      <c r="Y190" s="184"/>
      <c r="Z190" s="184"/>
      <c r="AA190" s="184"/>
      <c r="AB190" s="184"/>
      <c r="AC190" s="184"/>
      <c r="AD190" s="184"/>
      <c r="AE190" s="184"/>
      <c r="AF190" s="125" t="str">
        <f t="shared" si="13"/>
        <v/>
      </c>
      <c r="AG190" s="125" t="str">
        <f t="shared" si="14"/>
        <v/>
      </c>
      <c r="AH190" s="125" t="str">
        <f t="shared" si="15"/>
        <v/>
      </c>
      <c r="AI190" s="125" t="str">
        <f t="shared" si="16"/>
        <v/>
      </c>
    </row>
    <row r="191" spans="1:35" s="27" customFormat="1">
      <c r="A191" s="4">
        <v>187</v>
      </c>
      <c r="B191" s="32" t="s">
        <v>55</v>
      </c>
      <c r="C191" s="34"/>
      <c r="D191" s="37" t="s">
        <v>56</v>
      </c>
      <c r="E191" s="35"/>
      <c r="F191" s="24"/>
      <c r="G191" s="163"/>
      <c r="H191" s="163"/>
      <c r="I191" s="163"/>
      <c r="J191" s="163"/>
      <c r="K191" s="169"/>
      <c r="L191" s="235"/>
      <c r="M191" s="235"/>
      <c r="N191" s="169"/>
      <c r="O191" s="169"/>
      <c r="P191" s="169"/>
      <c r="Q191" s="175"/>
      <c r="R191" s="175"/>
      <c r="S191" s="175"/>
      <c r="T191" s="180"/>
      <c r="U191" s="122"/>
      <c r="V191" s="122"/>
      <c r="W191" s="122"/>
      <c r="X191" s="122"/>
      <c r="Y191" s="184"/>
      <c r="Z191" s="184"/>
      <c r="AA191" s="184"/>
      <c r="AB191" s="184"/>
      <c r="AC191" s="184"/>
      <c r="AD191" s="184"/>
      <c r="AE191" s="184"/>
      <c r="AF191" s="125" t="str">
        <f t="shared" si="13"/>
        <v/>
      </c>
      <c r="AG191" s="125" t="str">
        <f t="shared" si="14"/>
        <v/>
      </c>
      <c r="AH191" s="125" t="str">
        <f t="shared" si="15"/>
        <v/>
      </c>
      <c r="AI191" s="125" t="str">
        <f t="shared" si="16"/>
        <v/>
      </c>
    </row>
    <row r="192" spans="1:35">
      <c r="A192" s="4">
        <v>188</v>
      </c>
      <c r="B192" s="32" t="s">
        <v>55</v>
      </c>
      <c r="C192" s="34"/>
      <c r="D192" s="37" t="s">
        <v>56</v>
      </c>
      <c r="E192" s="35"/>
      <c r="F192" s="24"/>
      <c r="G192" s="163"/>
      <c r="H192" s="163"/>
      <c r="I192" s="163"/>
      <c r="J192" s="163"/>
      <c r="K192" s="169"/>
      <c r="L192" s="235"/>
      <c r="M192" s="235"/>
      <c r="N192" s="169"/>
      <c r="O192" s="169"/>
      <c r="P192" s="169"/>
      <c r="Q192" s="175"/>
      <c r="R192" s="175"/>
      <c r="S192" s="175"/>
      <c r="T192" s="180"/>
      <c r="U192" s="122"/>
      <c r="V192" s="122"/>
      <c r="W192" s="122"/>
      <c r="X192" s="122"/>
      <c r="Y192" s="184"/>
      <c r="Z192" s="184"/>
      <c r="AA192" s="184"/>
      <c r="AB192" s="184"/>
      <c r="AC192" s="184"/>
      <c r="AD192" s="184"/>
      <c r="AE192" s="184"/>
      <c r="AF192" s="125" t="str">
        <f t="shared" si="13"/>
        <v/>
      </c>
      <c r="AG192" s="125" t="str">
        <f t="shared" si="14"/>
        <v/>
      </c>
      <c r="AH192" s="125" t="str">
        <f t="shared" si="15"/>
        <v/>
      </c>
      <c r="AI192" s="125" t="str">
        <f t="shared" si="16"/>
        <v/>
      </c>
    </row>
    <row r="193" spans="1:35">
      <c r="A193" s="4">
        <v>189</v>
      </c>
      <c r="B193" s="32" t="s">
        <v>55</v>
      </c>
      <c r="C193" s="34"/>
      <c r="D193" s="37" t="s">
        <v>56</v>
      </c>
      <c r="E193" s="35"/>
      <c r="F193" s="24"/>
      <c r="G193" s="163"/>
      <c r="H193" s="163"/>
      <c r="I193" s="163"/>
      <c r="J193" s="163"/>
      <c r="K193" s="169"/>
      <c r="L193" s="235"/>
      <c r="M193" s="235"/>
      <c r="N193" s="169"/>
      <c r="O193" s="169"/>
      <c r="P193" s="169"/>
      <c r="Q193" s="175"/>
      <c r="R193" s="175"/>
      <c r="S193" s="175"/>
      <c r="T193" s="180"/>
      <c r="U193" s="122"/>
      <c r="V193" s="122"/>
      <c r="W193" s="122"/>
      <c r="X193" s="122"/>
      <c r="Y193" s="184"/>
      <c r="Z193" s="184"/>
      <c r="AA193" s="184"/>
      <c r="AB193" s="184"/>
      <c r="AC193" s="184"/>
      <c r="AD193" s="184"/>
      <c r="AE193" s="184"/>
      <c r="AF193" s="125" t="str">
        <f t="shared" si="13"/>
        <v/>
      </c>
      <c r="AG193" s="125" t="str">
        <f t="shared" si="14"/>
        <v/>
      </c>
      <c r="AH193" s="125" t="str">
        <f t="shared" si="15"/>
        <v/>
      </c>
      <c r="AI193" s="125" t="str">
        <f t="shared" si="16"/>
        <v/>
      </c>
    </row>
    <row r="194" spans="1:35">
      <c r="A194" s="4">
        <v>190</v>
      </c>
      <c r="B194" s="32" t="s">
        <v>55</v>
      </c>
      <c r="C194" s="34"/>
      <c r="D194" s="37" t="s">
        <v>56</v>
      </c>
      <c r="E194" s="35"/>
      <c r="F194" s="24"/>
      <c r="G194" s="163"/>
      <c r="H194" s="163"/>
      <c r="I194" s="163"/>
      <c r="J194" s="163"/>
      <c r="K194" s="169"/>
      <c r="L194" s="235"/>
      <c r="M194" s="235"/>
      <c r="N194" s="169"/>
      <c r="O194" s="169"/>
      <c r="P194" s="169"/>
      <c r="Q194" s="175"/>
      <c r="R194" s="175"/>
      <c r="S194" s="175"/>
      <c r="T194" s="180"/>
      <c r="U194" s="122"/>
      <c r="V194" s="122"/>
      <c r="W194" s="122"/>
      <c r="X194" s="122"/>
      <c r="Y194" s="184"/>
      <c r="Z194" s="184"/>
      <c r="AA194" s="184"/>
      <c r="AB194" s="184"/>
      <c r="AC194" s="184"/>
      <c r="AD194" s="184"/>
      <c r="AE194" s="184"/>
      <c r="AF194" s="125" t="str">
        <f t="shared" si="13"/>
        <v/>
      </c>
      <c r="AG194" s="125" t="str">
        <f t="shared" si="14"/>
        <v/>
      </c>
      <c r="AH194" s="125" t="str">
        <f t="shared" si="15"/>
        <v/>
      </c>
      <c r="AI194" s="125" t="str">
        <f t="shared" si="16"/>
        <v/>
      </c>
    </row>
    <row r="195" spans="1:35" s="27" customFormat="1">
      <c r="A195" s="4">
        <v>191</v>
      </c>
      <c r="B195" s="32" t="s">
        <v>55</v>
      </c>
      <c r="C195" s="34"/>
      <c r="D195" s="37" t="s">
        <v>56</v>
      </c>
      <c r="E195" s="35"/>
      <c r="F195" s="24"/>
      <c r="G195" s="163"/>
      <c r="H195" s="163"/>
      <c r="I195" s="163"/>
      <c r="J195" s="163"/>
      <c r="K195" s="169"/>
      <c r="L195" s="235"/>
      <c r="M195" s="235"/>
      <c r="N195" s="169"/>
      <c r="O195" s="169"/>
      <c r="P195" s="169"/>
      <c r="Q195" s="175"/>
      <c r="R195" s="175"/>
      <c r="S195" s="175"/>
      <c r="T195" s="180"/>
      <c r="U195" s="122"/>
      <c r="V195" s="122"/>
      <c r="W195" s="122"/>
      <c r="X195" s="122"/>
      <c r="Y195" s="184"/>
      <c r="Z195" s="184"/>
      <c r="AA195" s="184"/>
      <c r="AB195" s="184"/>
      <c r="AC195" s="184"/>
      <c r="AD195" s="184"/>
      <c r="AE195" s="184"/>
      <c r="AF195" s="125" t="str">
        <f t="shared" si="13"/>
        <v/>
      </c>
      <c r="AG195" s="125" t="str">
        <f t="shared" si="14"/>
        <v/>
      </c>
      <c r="AH195" s="125" t="str">
        <f t="shared" si="15"/>
        <v/>
      </c>
      <c r="AI195" s="125" t="str">
        <f t="shared" si="16"/>
        <v/>
      </c>
    </row>
    <row r="196" spans="1:35">
      <c r="A196" s="4">
        <v>192</v>
      </c>
      <c r="B196" s="32" t="s">
        <v>55</v>
      </c>
      <c r="C196" s="34"/>
      <c r="D196" s="37" t="s">
        <v>56</v>
      </c>
      <c r="E196" s="35"/>
      <c r="F196" s="24"/>
      <c r="G196" s="163"/>
      <c r="H196" s="163"/>
      <c r="I196" s="163"/>
      <c r="J196" s="163"/>
      <c r="K196" s="169"/>
      <c r="L196" s="235"/>
      <c r="M196" s="235"/>
      <c r="N196" s="169"/>
      <c r="O196" s="169"/>
      <c r="P196" s="169"/>
      <c r="Q196" s="175"/>
      <c r="R196" s="175"/>
      <c r="S196" s="175"/>
      <c r="T196" s="180"/>
      <c r="U196" s="122"/>
      <c r="V196" s="122"/>
      <c r="W196" s="122"/>
      <c r="X196" s="122"/>
      <c r="Y196" s="184"/>
      <c r="Z196" s="184"/>
      <c r="AA196" s="184"/>
      <c r="AB196" s="184"/>
      <c r="AC196" s="184"/>
      <c r="AD196" s="184"/>
      <c r="AE196" s="184"/>
      <c r="AF196" s="125" t="str">
        <f t="shared" si="13"/>
        <v/>
      </c>
      <c r="AG196" s="125" t="str">
        <f t="shared" si="14"/>
        <v/>
      </c>
      <c r="AH196" s="125" t="str">
        <f t="shared" si="15"/>
        <v/>
      </c>
      <c r="AI196" s="125" t="str">
        <f t="shared" si="16"/>
        <v/>
      </c>
    </row>
    <row r="197" spans="1:35">
      <c r="A197" s="4">
        <v>193</v>
      </c>
      <c r="B197" s="32" t="s">
        <v>55</v>
      </c>
      <c r="C197" s="34"/>
      <c r="D197" s="37" t="s">
        <v>56</v>
      </c>
      <c r="E197" s="35"/>
      <c r="F197" s="24"/>
      <c r="G197" s="163"/>
      <c r="H197" s="163"/>
      <c r="I197" s="163"/>
      <c r="J197" s="163"/>
      <c r="K197" s="169"/>
      <c r="L197" s="235"/>
      <c r="M197" s="235"/>
      <c r="N197" s="169"/>
      <c r="O197" s="169"/>
      <c r="P197" s="169"/>
      <c r="Q197" s="175"/>
      <c r="R197" s="175"/>
      <c r="S197" s="175"/>
      <c r="T197" s="180"/>
      <c r="U197" s="122"/>
      <c r="V197" s="122"/>
      <c r="W197" s="122"/>
      <c r="X197" s="122"/>
      <c r="Y197" s="184"/>
      <c r="Z197" s="184"/>
      <c r="AA197" s="184"/>
      <c r="AB197" s="184"/>
      <c r="AC197" s="184"/>
      <c r="AD197" s="184"/>
      <c r="AE197" s="184"/>
      <c r="AF197" s="125" t="str">
        <f t="shared" si="13"/>
        <v/>
      </c>
      <c r="AG197" s="125" t="str">
        <f t="shared" si="14"/>
        <v/>
      </c>
      <c r="AH197" s="125" t="str">
        <f t="shared" si="15"/>
        <v/>
      </c>
      <c r="AI197" s="125" t="str">
        <f t="shared" si="16"/>
        <v/>
      </c>
    </row>
    <row r="198" spans="1:35">
      <c r="A198" s="4">
        <v>194</v>
      </c>
      <c r="B198" s="32" t="s">
        <v>55</v>
      </c>
      <c r="C198" s="34"/>
      <c r="D198" s="37" t="s">
        <v>56</v>
      </c>
      <c r="E198" s="35"/>
      <c r="F198" s="24"/>
      <c r="G198" s="163"/>
      <c r="H198" s="163"/>
      <c r="I198" s="163"/>
      <c r="J198" s="163"/>
      <c r="K198" s="169"/>
      <c r="L198" s="235"/>
      <c r="M198" s="235"/>
      <c r="N198" s="169"/>
      <c r="O198" s="169"/>
      <c r="P198" s="169"/>
      <c r="Q198" s="175"/>
      <c r="R198" s="175"/>
      <c r="S198" s="175"/>
      <c r="T198" s="180"/>
      <c r="U198" s="122"/>
      <c r="V198" s="122"/>
      <c r="W198" s="122"/>
      <c r="X198" s="122"/>
      <c r="Y198" s="184"/>
      <c r="Z198" s="184"/>
      <c r="AA198" s="184"/>
      <c r="AB198" s="184"/>
      <c r="AC198" s="184"/>
      <c r="AD198" s="184"/>
      <c r="AE198" s="184"/>
      <c r="AF198" s="125" t="str">
        <f t="shared" ref="AF198:AF218" si="17">IF(ISBLANK(C198),"",G198)</f>
        <v/>
      </c>
      <c r="AG198" s="125" t="str">
        <f t="shared" ref="AG198:AG218" si="18">IF(ISBLANK(C198),"",SUM(K198:X198))</f>
        <v/>
      </c>
      <c r="AH198" s="125" t="str">
        <f t="shared" ref="AH198:AH218" si="19">IF(ISBLANK(C198),"",SUM(Y198:Z198))</f>
        <v/>
      </c>
      <c r="AI198" s="125" t="str">
        <f t="shared" ref="AI198:AI218" si="20">IF(ISBLANK(C198),"",SUM(AA198:AB198))</f>
        <v/>
      </c>
    </row>
    <row r="199" spans="1:35">
      <c r="A199" s="4">
        <v>195</v>
      </c>
      <c r="B199" s="32" t="s">
        <v>55</v>
      </c>
      <c r="C199" s="34"/>
      <c r="D199" s="37" t="s">
        <v>56</v>
      </c>
      <c r="E199" s="35"/>
      <c r="F199" s="24"/>
      <c r="G199" s="163"/>
      <c r="H199" s="163"/>
      <c r="I199" s="163"/>
      <c r="J199" s="163"/>
      <c r="K199" s="169"/>
      <c r="L199" s="235"/>
      <c r="M199" s="235"/>
      <c r="N199" s="169"/>
      <c r="O199" s="169"/>
      <c r="P199" s="169"/>
      <c r="Q199" s="175"/>
      <c r="R199" s="175"/>
      <c r="S199" s="175"/>
      <c r="T199" s="180"/>
      <c r="U199" s="122"/>
      <c r="V199" s="122"/>
      <c r="W199" s="122"/>
      <c r="X199" s="122"/>
      <c r="Y199" s="184"/>
      <c r="Z199" s="184"/>
      <c r="AA199" s="184"/>
      <c r="AB199" s="184"/>
      <c r="AC199" s="184"/>
      <c r="AD199" s="184"/>
      <c r="AE199" s="184"/>
      <c r="AF199" s="125" t="str">
        <f t="shared" si="17"/>
        <v/>
      </c>
      <c r="AG199" s="125" t="str">
        <f t="shared" si="18"/>
        <v/>
      </c>
      <c r="AH199" s="125" t="str">
        <f t="shared" si="19"/>
        <v/>
      </c>
      <c r="AI199" s="125" t="str">
        <f t="shared" si="20"/>
        <v/>
      </c>
    </row>
    <row r="200" spans="1:35">
      <c r="A200" s="4">
        <v>196</v>
      </c>
      <c r="B200" s="32" t="s">
        <v>55</v>
      </c>
      <c r="C200" s="34"/>
      <c r="D200" s="37" t="s">
        <v>56</v>
      </c>
      <c r="E200" s="35"/>
      <c r="F200" s="24"/>
      <c r="G200" s="163"/>
      <c r="H200" s="163"/>
      <c r="I200" s="163"/>
      <c r="J200" s="163"/>
      <c r="K200" s="169"/>
      <c r="L200" s="235"/>
      <c r="M200" s="235"/>
      <c r="N200" s="169"/>
      <c r="O200" s="169"/>
      <c r="P200" s="169"/>
      <c r="Q200" s="175"/>
      <c r="R200" s="175"/>
      <c r="S200" s="175"/>
      <c r="T200" s="180"/>
      <c r="U200" s="122"/>
      <c r="V200" s="122"/>
      <c r="W200" s="122"/>
      <c r="X200" s="122"/>
      <c r="Y200" s="184"/>
      <c r="Z200" s="184"/>
      <c r="AA200" s="184"/>
      <c r="AB200" s="184"/>
      <c r="AC200" s="184"/>
      <c r="AD200" s="184"/>
      <c r="AE200" s="184"/>
      <c r="AF200" s="125" t="str">
        <f t="shared" si="17"/>
        <v/>
      </c>
      <c r="AG200" s="125" t="str">
        <f t="shared" si="18"/>
        <v/>
      </c>
      <c r="AH200" s="125" t="str">
        <f t="shared" si="19"/>
        <v/>
      </c>
      <c r="AI200" s="125" t="str">
        <f t="shared" si="20"/>
        <v/>
      </c>
    </row>
    <row r="201" spans="1:35" s="27" customFormat="1">
      <c r="A201" s="4">
        <v>197</v>
      </c>
      <c r="B201" s="32" t="s">
        <v>55</v>
      </c>
      <c r="C201" s="34"/>
      <c r="D201" s="37" t="s">
        <v>56</v>
      </c>
      <c r="E201" s="35"/>
      <c r="F201" s="24"/>
      <c r="G201" s="163"/>
      <c r="H201" s="163"/>
      <c r="I201" s="163"/>
      <c r="J201" s="163"/>
      <c r="K201" s="169"/>
      <c r="L201" s="235"/>
      <c r="M201" s="235"/>
      <c r="N201" s="169"/>
      <c r="O201" s="169"/>
      <c r="P201" s="169"/>
      <c r="Q201" s="175"/>
      <c r="R201" s="175"/>
      <c r="S201" s="175"/>
      <c r="T201" s="180"/>
      <c r="U201" s="122"/>
      <c r="V201" s="122"/>
      <c r="W201" s="122"/>
      <c r="X201" s="122"/>
      <c r="Y201" s="184"/>
      <c r="Z201" s="184"/>
      <c r="AA201" s="184"/>
      <c r="AB201" s="184"/>
      <c r="AC201" s="184"/>
      <c r="AD201" s="184"/>
      <c r="AE201" s="184"/>
      <c r="AF201" s="125" t="str">
        <f t="shared" si="17"/>
        <v/>
      </c>
      <c r="AG201" s="125" t="str">
        <f t="shared" si="18"/>
        <v/>
      </c>
      <c r="AH201" s="125" t="str">
        <f t="shared" si="19"/>
        <v/>
      </c>
      <c r="AI201" s="125" t="str">
        <f t="shared" si="20"/>
        <v/>
      </c>
    </row>
    <row r="202" spans="1:35">
      <c r="A202" s="4">
        <v>198</v>
      </c>
      <c r="B202" s="32" t="s">
        <v>55</v>
      </c>
      <c r="C202" s="34"/>
      <c r="D202" s="37" t="s">
        <v>56</v>
      </c>
      <c r="E202" s="35"/>
      <c r="F202" s="24"/>
      <c r="G202" s="163"/>
      <c r="H202" s="163"/>
      <c r="I202" s="163"/>
      <c r="J202" s="163"/>
      <c r="K202" s="169"/>
      <c r="L202" s="235"/>
      <c r="M202" s="235"/>
      <c r="N202" s="169"/>
      <c r="O202" s="169"/>
      <c r="P202" s="169"/>
      <c r="Q202" s="175"/>
      <c r="R202" s="175"/>
      <c r="S202" s="175"/>
      <c r="T202" s="180"/>
      <c r="U202" s="122"/>
      <c r="V202" s="122"/>
      <c r="W202" s="122"/>
      <c r="X202" s="122"/>
      <c r="Y202" s="184"/>
      <c r="Z202" s="184"/>
      <c r="AA202" s="184"/>
      <c r="AB202" s="184"/>
      <c r="AC202" s="184"/>
      <c r="AD202" s="184"/>
      <c r="AE202" s="184"/>
      <c r="AF202" s="125" t="str">
        <f t="shared" si="17"/>
        <v/>
      </c>
      <c r="AG202" s="125" t="str">
        <f t="shared" si="18"/>
        <v/>
      </c>
      <c r="AH202" s="125" t="str">
        <f t="shared" si="19"/>
        <v/>
      </c>
      <c r="AI202" s="125" t="str">
        <f t="shared" si="20"/>
        <v/>
      </c>
    </row>
    <row r="203" spans="1:35">
      <c r="A203" s="4">
        <v>199</v>
      </c>
      <c r="B203" s="32" t="s">
        <v>55</v>
      </c>
      <c r="C203" s="34"/>
      <c r="D203" s="37" t="s">
        <v>56</v>
      </c>
      <c r="E203" s="35"/>
      <c r="F203" s="24"/>
      <c r="G203" s="163"/>
      <c r="H203" s="163"/>
      <c r="I203" s="163"/>
      <c r="J203" s="163"/>
      <c r="K203" s="169"/>
      <c r="L203" s="235"/>
      <c r="M203" s="235"/>
      <c r="N203" s="169"/>
      <c r="O203" s="169"/>
      <c r="P203" s="169"/>
      <c r="Q203" s="175"/>
      <c r="R203" s="175"/>
      <c r="S203" s="175"/>
      <c r="T203" s="180"/>
      <c r="U203" s="122"/>
      <c r="V203" s="122"/>
      <c r="W203" s="122"/>
      <c r="X203" s="122"/>
      <c r="Y203" s="184"/>
      <c r="Z203" s="184"/>
      <c r="AA203" s="184"/>
      <c r="AB203" s="184"/>
      <c r="AC203" s="184"/>
      <c r="AD203" s="184"/>
      <c r="AE203" s="184"/>
      <c r="AF203" s="125" t="str">
        <f t="shared" si="17"/>
        <v/>
      </c>
      <c r="AG203" s="125" t="str">
        <f t="shared" si="18"/>
        <v/>
      </c>
      <c r="AH203" s="125" t="str">
        <f t="shared" si="19"/>
        <v/>
      </c>
      <c r="AI203" s="125" t="str">
        <f t="shared" si="20"/>
        <v/>
      </c>
    </row>
    <row r="204" spans="1:35">
      <c r="A204" s="4">
        <v>200</v>
      </c>
      <c r="B204" s="32" t="s">
        <v>55</v>
      </c>
      <c r="C204" s="34"/>
      <c r="D204" s="37" t="s">
        <v>56</v>
      </c>
      <c r="E204" s="35"/>
      <c r="F204" s="24"/>
      <c r="G204" s="163"/>
      <c r="H204" s="163"/>
      <c r="I204" s="163"/>
      <c r="J204" s="163"/>
      <c r="K204" s="169"/>
      <c r="L204" s="235"/>
      <c r="M204" s="235"/>
      <c r="N204" s="169"/>
      <c r="O204" s="169"/>
      <c r="P204" s="169"/>
      <c r="Q204" s="175"/>
      <c r="R204" s="175"/>
      <c r="S204" s="175"/>
      <c r="T204" s="180"/>
      <c r="U204" s="122"/>
      <c r="V204" s="122"/>
      <c r="W204" s="122"/>
      <c r="X204" s="122"/>
      <c r="Y204" s="184"/>
      <c r="Z204" s="184"/>
      <c r="AA204" s="184"/>
      <c r="AB204" s="184"/>
      <c r="AC204" s="184"/>
      <c r="AD204" s="184"/>
      <c r="AE204" s="184"/>
      <c r="AF204" s="125" t="str">
        <f t="shared" si="17"/>
        <v/>
      </c>
      <c r="AG204" s="125" t="str">
        <f t="shared" si="18"/>
        <v/>
      </c>
      <c r="AH204" s="125" t="str">
        <f t="shared" si="19"/>
        <v/>
      </c>
      <c r="AI204" s="125" t="str">
        <f t="shared" si="20"/>
        <v/>
      </c>
    </row>
    <row r="205" spans="1:35" s="27" customFormat="1">
      <c r="A205" s="4">
        <v>201</v>
      </c>
      <c r="B205" s="32" t="s">
        <v>55</v>
      </c>
      <c r="C205" s="34"/>
      <c r="D205" s="37" t="s">
        <v>56</v>
      </c>
      <c r="E205" s="35"/>
      <c r="F205" s="24"/>
      <c r="G205" s="163"/>
      <c r="H205" s="163"/>
      <c r="I205" s="163"/>
      <c r="J205" s="163"/>
      <c r="K205" s="169"/>
      <c r="L205" s="235"/>
      <c r="M205" s="235"/>
      <c r="N205" s="169"/>
      <c r="O205" s="169"/>
      <c r="P205" s="169"/>
      <c r="Q205" s="175"/>
      <c r="R205" s="175"/>
      <c r="S205" s="175"/>
      <c r="T205" s="180"/>
      <c r="U205" s="122"/>
      <c r="V205" s="122"/>
      <c r="W205" s="122"/>
      <c r="X205" s="122"/>
      <c r="Y205" s="184"/>
      <c r="Z205" s="184"/>
      <c r="AA205" s="184"/>
      <c r="AB205" s="184"/>
      <c r="AC205" s="184"/>
      <c r="AD205" s="184"/>
      <c r="AE205" s="184"/>
      <c r="AF205" s="125" t="str">
        <f t="shared" si="17"/>
        <v/>
      </c>
      <c r="AG205" s="125" t="str">
        <f t="shared" si="18"/>
        <v/>
      </c>
      <c r="AH205" s="125" t="str">
        <f t="shared" si="19"/>
        <v/>
      </c>
      <c r="AI205" s="125" t="str">
        <f t="shared" si="20"/>
        <v/>
      </c>
    </row>
    <row r="206" spans="1:35">
      <c r="A206" s="4">
        <v>202</v>
      </c>
      <c r="B206" s="32" t="s">
        <v>55</v>
      </c>
      <c r="C206" s="34"/>
      <c r="D206" s="37" t="s">
        <v>56</v>
      </c>
      <c r="E206" s="35"/>
      <c r="F206" s="24"/>
      <c r="G206" s="163"/>
      <c r="H206" s="163"/>
      <c r="I206" s="163"/>
      <c r="J206" s="163"/>
      <c r="K206" s="169"/>
      <c r="L206" s="235"/>
      <c r="M206" s="235"/>
      <c r="N206" s="169"/>
      <c r="O206" s="169"/>
      <c r="P206" s="169"/>
      <c r="Q206" s="175"/>
      <c r="R206" s="175"/>
      <c r="S206" s="175"/>
      <c r="T206" s="180"/>
      <c r="U206" s="122"/>
      <c r="V206" s="122"/>
      <c r="W206" s="122"/>
      <c r="X206" s="122"/>
      <c r="Y206" s="184"/>
      <c r="Z206" s="184"/>
      <c r="AA206" s="184"/>
      <c r="AB206" s="184"/>
      <c r="AC206" s="184"/>
      <c r="AD206" s="184"/>
      <c r="AE206" s="184"/>
      <c r="AF206" s="125" t="str">
        <f t="shared" si="17"/>
        <v/>
      </c>
      <c r="AG206" s="125" t="str">
        <f t="shared" si="18"/>
        <v/>
      </c>
      <c r="AH206" s="125" t="str">
        <f t="shared" si="19"/>
        <v/>
      </c>
      <c r="AI206" s="125" t="str">
        <f t="shared" si="20"/>
        <v/>
      </c>
    </row>
    <row r="207" spans="1:35">
      <c r="A207" s="4">
        <v>203</v>
      </c>
      <c r="B207" s="32" t="s">
        <v>55</v>
      </c>
      <c r="C207" s="34"/>
      <c r="D207" s="37" t="s">
        <v>56</v>
      </c>
      <c r="E207" s="35"/>
      <c r="F207" s="24"/>
      <c r="G207" s="163"/>
      <c r="H207" s="163"/>
      <c r="I207" s="163"/>
      <c r="J207" s="163"/>
      <c r="K207" s="169"/>
      <c r="L207" s="235"/>
      <c r="M207" s="235"/>
      <c r="N207" s="169"/>
      <c r="O207" s="169"/>
      <c r="P207" s="169"/>
      <c r="Q207" s="175"/>
      <c r="R207" s="175"/>
      <c r="S207" s="175"/>
      <c r="T207" s="180"/>
      <c r="U207" s="122"/>
      <c r="V207" s="122"/>
      <c r="W207" s="122"/>
      <c r="X207" s="122"/>
      <c r="Y207" s="184"/>
      <c r="Z207" s="184"/>
      <c r="AA207" s="184"/>
      <c r="AB207" s="184"/>
      <c r="AC207" s="184"/>
      <c r="AD207" s="184"/>
      <c r="AE207" s="184"/>
      <c r="AF207" s="125" t="str">
        <f t="shared" si="17"/>
        <v/>
      </c>
      <c r="AG207" s="125" t="str">
        <f t="shared" si="18"/>
        <v/>
      </c>
      <c r="AH207" s="125" t="str">
        <f t="shared" si="19"/>
        <v/>
      </c>
      <c r="AI207" s="125" t="str">
        <f t="shared" si="20"/>
        <v/>
      </c>
    </row>
    <row r="208" spans="1:35">
      <c r="A208" s="4">
        <v>204</v>
      </c>
      <c r="B208" s="32" t="s">
        <v>55</v>
      </c>
      <c r="C208" s="34"/>
      <c r="D208" s="37" t="s">
        <v>56</v>
      </c>
      <c r="E208" s="35"/>
      <c r="F208" s="24"/>
      <c r="G208" s="163"/>
      <c r="H208" s="163"/>
      <c r="I208" s="163"/>
      <c r="J208" s="163"/>
      <c r="K208" s="169"/>
      <c r="L208" s="235"/>
      <c r="M208" s="235"/>
      <c r="N208" s="169"/>
      <c r="O208" s="169"/>
      <c r="P208" s="169"/>
      <c r="Q208" s="175"/>
      <c r="R208" s="175"/>
      <c r="S208" s="175"/>
      <c r="T208" s="180"/>
      <c r="U208" s="122"/>
      <c r="V208" s="122"/>
      <c r="W208" s="122"/>
      <c r="X208" s="122"/>
      <c r="Y208" s="184"/>
      <c r="Z208" s="184"/>
      <c r="AA208" s="184"/>
      <c r="AB208" s="184"/>
      <c r="AC208" s="184"/>
      <c r="AD208" s="184"/>
      <c r="AE208" s="184"/>
      <c r="AF208" s="125" t="str">
        <f t="shared" si="17"/>
        <v/>
      </c>
      <c r="AG208" s="125" t="str">
        <f t="shared" si="18"/>
        <v/>
      </c>
      <c r="AH208" s="125" t="str">
        <f t="shared" si="19"/>
        <v/>
      </c>
      <c r="AI208" s="125" t="str">
        <f t="shared" si="20"/>
        <v/>
      </c>
    </row>
    <row r="209" spans="1:35">
      <c r="A209" s="4">
        <v>205</v>
      </c>
      <c r="B209" s="32" t="s">
        <v>55</v>
      </c>
      <c r="C209" s="34"/>
      <c r="D209" s="37" t="s">
        <v>56</v>
      </c>
      <c r="E209" s="35"/>
      <c r="F209" s="24"/>
      <c r="G209" s="163"/>
      <c r="H209" s="163"/>
      <c r="I209" s="163"/>
      <c r="J209" s="163"/>
      <c r="K209" s="169"/>
      <c r="L209" s="235"/>
      <c r="M209" s="235"/>
      <c r="N209" s="169"/>
      <c r="O209" s="169"/>
      <c r="P209" s="169"/>
      <c r="Q209" s="175"/>
      <c r="R209" s="175"/>
      <c r="S209" s="175"/>
      <c r="T209" s="180"/>
      <c r="U209" s="122"/>
      <c r="V209" s="122"/>
      <c r="W209" s="122"/>
      <c r="X209" s="122"/>
      <c r="Y209" s="184"/>
      <c r="Z209" s="184"/>
      <c r="AA209" s="184"/>
      <c r="AB209" s="184"/>
      <c r="AC209" s="184"/>
      <c r="AD209" s="184"/>
      <c r="AE209" s="184"/>
      <c r="AF209" s="125" t="str">
        <f t="shared" si="17"/>
        <v/>
      </c>
      <c r="AG209" s="125" t="str">
        <f t="shared" si="18"/>
        <v/>
      </c>
      <c r="AH209" s="125" t="str">
        <f t="shared" si="19"/>
        <v/>
      </c>
      <c r="AI209" s="125" t="str">
        <f t="shared" si="20"/>
        <v/>
      </c>
    </row>
    <row r="210" spans="1:35">
      <c r="A210" s="4">
        <v>206</v>
      </c>
      <c r="B210" s="32" t="s">
        <v>55</v>
      </c>
      <c r="C210" s="34"/>
      <c r="D210" s="37" t="s">
        <v>56</v>
      </c>
      <c r="E210" s="35"/>
      <c r="F210" s="24"/>
      <c r="G210" s="163"/>
      <c r="H210" s="163"/>
      <c r="I210" s="163"/>
      <c r="J210" s="163"/>
      <c r="K210" s="169"/>
      <c r="L210" s="235"/>
      <c r="M210" s="235"/>
      <c r="N210" s="169"/>
      <c r="O210" s="169"/>
      <c r="P210" s="169"/>
      <c r="Q210" s="175"/>
      <c r="R210" s="175"/>
      <c r="S210" s="175"/>
      <c r="T210" s="180"/>
      <c r="U210" s="122"/>
      <c r="V210" s="122"/>
      <c r="W210" s="122"/>
      <c r="X210" s="122"/>
      <c r="Y210" s="184"/>
      <c r="Z210" s="184"/>
      <c r="AA210" s="184"/>
      <c r="AB210" s="184"/>
      <c r="AC210" s="184"/>
      <c r="AD210" s="184"/>
      <c r="AE210" s="184"/>
      <c r="AF210" s="125" t="str">
        <f t="shared" si="17"/>
        <v/>
      </c>
      <c r="AG210" s="125" t="str">
        <f t="shared" si="18"/>
        <v/>
      </c>
      <c r="AH210" s="125" t="str">
        <f t="shared" si="19"/>
        <v/>
      </c>
      <c r="AI210" s="125" t="str">
        <f t="shared" si="20"/>
        <v/>
      </c>
    </row>
    <row r="211" spans="1:35" s="27" customFormat="1">
      <c r="A211" s="4">
        <v>207</v>
      </c>
      <c r="B211" s="32" t="s">
        <v>55</v>
      </c>
      <c r="C211" s="34"/>
      <c r="D211" s="37" t="s">
        <v>56</v>
      </c>
      <c r="E211" s="35"/>
      <c r="F211" s="24"/>
      <c r="G211" s="163"/>
      <c r="H211" s="163"/>
      <c r="I211" s="163"/>
      <c r="J211" s="163"/>
      <c r="K211" s="169"/>
      <c r="L211" s="235"/>
      <c r="M211" s="235"/>
      <c r="N211" s="169"/>
      <c r="O211" s="169"/>
      <c r="P211" s="169"/>
      <c r="Q211" s="175"/>
      <c r="R211" s="175"/>
      <c r="S211" s="175"/>
      <c r="T211" s="180"/>
      <c r="U211" s="122"/>
      <c r="V211" s="122"/>
      <c r="W211" s="122"/>
      <c r="X211" s="122"/>
      <c r="Y211" s="184"/>
      <c r="Z211" s="184"/>
      <c r="AA211" s="184"/>
      <c r="AB211" s="184"/>
      <c r="AC211" s="184"/>
      <c r="AD211" s="184"/>
      <c r="AE211" s="184"/>
      <c r="AF211" s="125" t="str">
        <f t="shared" si="17"/>
        <v/>
      </c>
      <c r="AG211" s="125" t="str">
        <f t="shared" si="18"/>
        <v/>
      </c>
      <c r="AH211" s="125" t="str">
        <f t="shared" si="19"/>
        <v/>
      </c>
      <c r="AI211" s="125" t="str">
        <f t="shared" si="20"/>
        <v/>
      </c>
    </row>
    <row r="212" spans="1:35">
      <c r="A212" s="4">
        <v>208</v>
      </c>
      <c r="B212" s="32" t="s">
        <v>55</v>
      </c>
      <c r="C212" s="34"/>
      <c r="D212" s="37" t="s">
        <v>56</v>
      </c>
      <c r="E212" s="35"/>
      <c r="F212" s="24"/>
      <c r="G212" s="163"/>
      <c r="H212" s="163"/>
      <c r="I212" s="163"/>
      <c r="J212" s="163"/>
      <c r="K212" s="169"/>
      <c r="L212" s="235"/>
      <c r="M212" s="235"/>
      <c r="N212" s="169"/>
      <c r="O212" s="169"/>
      <c r="P212" s="169"/>
      <c r="Q212" s="175"/>
      <c r="R212" s="175"/>
      <c r="S212" s="175"/>
      <c r="T212" s="180"/>
      <c r="U212" s="122"/>
      <c r="V212" s="122"/>
      <c r="W212" s="122"/>
      <c r="X212" s="122"/>
      <c r="Y212" s="184"/>
      <c r="Z212" s="184"/>
      <c r="AA212" s="184"/>
      <c r="AB212" s="184"/>
      <c r="AC212" s="184"/>
      <c r="AD212" s="184"/>
      <c r="AE212" s="184"/>
      <c r="AF212" s="125" t="str">
        <f t="shared" si="17"/>
        <v/>
      </c>
      <c r="AG212" s="125" t="str">
        <f t="shared" si="18"/>
        <v/>
      </c>
      <c r="AH212" s="125" t="str">
        <f t="shared" si="19"/>
        <v/>
      </c>
      <c r="AI212" s="125" t="str">
        <f t="shared" si="20"/>
        <v/>
      </c>
    </row>
    <row r="213" spans="1:35">
      <c r="A213" s="4">
        <v>209</v>
      </c>
      <c r="B213" s="32" t="s">
        <v>55</v>
      </c>
      <c r="C213" s="34"/>
      <c r="D213" s="37" t="s">
        <v>56</v>
      </c>
      <c r="E213" s="35"/>
      <c r="F213" s="24"/>
      <c r="G213" s="163"/>
      <c r="H213" s="163"/>
      <c r="I213" s="163"/>
      <c r="J213" s="163"/>
      <c r="K213" s="169"/>
      <c r="L213" s="235"/>
      <c r="M213" s="235"/>
      <c r="N213" s="169"/>
      <c r="O213" s="169"/>
      <c r="P213" s="169"/>
      <c r="Q213" s="175"/>
      <c r="R213" s="175"/>
      <c r="S213" s="175"/>
      <c r="T213" s="180"/>
      <c r="U213" s="122"/>
      <c r="V213" s="122"/>
      <c r="W213" s="122"/>
      <c r="X213" s="122"/>
      <c r="Y213" s="184"/>
      <c r="Z213" s="184"/>
      <c r="AA213" s="184"/>
      <c r="AB213" s="184"/>
      <c r="AC213" s="184"/>
      <c r="AD213" s="184"/>
      <c r="AE213" s="184"/>
      <c r="AF213" s="125" t="str">
        <f t="shared" si="17"/>
        <v/>
      </c>
      <c r="AG213" s="125" t="str">
        <f t="shared" si="18"/>
        <v/>
      </c>
      <c r="AH213" s="125" t="str">
        <f t="shared" si="19"/>
        <v/>
      </c>
      <c r="AI213" s="125" t="str">
        <f t="shared" si="20"/>
        <v/>
      </c>
    </row>
    <row r="214" spans="1:35">
      <c r="A214" s="4">
        <v>210</v>
      </c>
      <c r="B214" s="32" t="s">
        <v>55</v>
      </c>
      <c r="C214" s="34"/>
      <c r="D214" s="37" t="s">
        <v>56</v>
      </c>
      <c r="E214" s="35"/>
      <c r="F214" s="24"/>
      <c r="G214" s="163"/>
      <c r="H214" s="163"/>
      <c r="I214" s="163"/>
      <c r="J214" s="163"/>
      <c r="K214" s="169"/>
      <c r="L214" s="235"/>
      <c r="M214" s="235"/>
      <c r="N214" s="169"/>
      <c r="O214" s="169"/>
      <c r="P214" s="169"/>
      <c r="Q214" s="175"/>
      <c r="R214" s="175"/>
      <c r="S214" s="175"/>
      <c r="T214" s="180"/>
      <c r="U214" s="122"/>
      <c r="V214" s="122"/>
      <c r="W214" s="122"/>
      <c r="X214" s="122"/>
      <c r="Y214" s="184"/>
      <c r="Z214" s="184"/>
      <c r="AA214" s="184"/>
      <c r="AB214" s="184"/>
      <c r="AC214" s="184"/>
      <c r="AD214" s="184"/>
      <c r="AE214" s="184"/>
      <c r="AF214" s="125" t="str">
        <f t="shared" si="17"/>
        <v/>
      </c>
      <c r="AG214" s="125" t="str">
        <f t="shared" si="18"/>
        <v/>
      </c>
      <c r="AH214" s="125" t="str">
        <f t="shared" si="19"/>
        <v/>
      </c>
      <c r="AI214" s="125" t="str">
        <f t="shared" si="20"/>
        <v/>
      </c>
    </row>
    <row r="215" spans="1:35">
      <c r="A215" s="4">
        <v>211</v>
      </c>
      <c r="B215" s="32" t="s">
        <v>55</v>
      </c>
      <c r="C215" s="34"/>
      <c r="D215" s="37" t="s">
        <v>56</v>
      </c>
      <c r="E215" s="35"/>
      <c r="F215" s="24"/>
      <c r="G215" s="163"/>
      <c r="H215" s="163"/>
      <c r="I215" s="163"/>
      <c r="J215" s="163"/>
      <c r="K215" s="169"/>
      <c r="L215" s="235"/>
      <c r="M215" s="235"/>
      <c r="N215" s="169"/>
      <c r="O215" s="169"/>
      <c r="P215" s="169"/>
      <c r="Q215" s="175"/>
      <c r="R215" s="175"/>
      <c r="S215" s="175"/>
      <c r="T215" s="180"/>
      <c r="U215" s="122"/>
      <c r="V215" s="122"/>
      <c r="W215" s="122"/>
      <c r="X215" s="122"/>
      <c r="Y215" s="184"/>
      <c r="Z215" s="184"/>
      <c r="AA215" s="184"/>
      <c r="AB215" s="184"/>
      <c r="AC215" s="184"/>
      <c r="AD215" s="184"/>
      <c r="AE215" s="184"/>
      <c r="AF215" s="125" t="str">
        <f t="shared" si="17"/>
        <v/>
      </c>
      <c r="AG215" s="125" t="str">
        <f t="shared" si="18"/>
        <v/>
      </c>
      <c r="AH215" s="125" t="str">
        <f t="shared" si="19"/>
        <v/>
      </c>
      <c r="AI215" s="125" t="str">
        <f t="shared" si="20"/>
        <v/>
      </c>
    </row>
    <row r="216" spans="1:35">
      <c r="A216" s="4">
        <v>212</v>
      </c>
      <c r="B216" s="32" t="s">
        <v>55</v>
      </c>
      <c r="C216" s="34"/>
      <c r="D216" s="37" t="s">
        <v>56</v>
      </c>
      <c r="E216" s="35"/>
      <c r="F216" s="24"/>
      <c r="G216" s="163"/>
      <c r="H216" s="163"/>
      <c r="I216" s="163"/>
      <c r="J216" s="163"/>
      <c r="K216" s="169"/>
      <c r="L216" s="235"/>
      <c r="M216" s="235"/>
      <c r="N216" s="169"/>
      <c r="O216" s="169"/>
      <c r="P216" s="169"/>
      <c r="Q216" s="175"/>
      <c r="R216" s="175"/>
      <c r="S216" s="175"/>
      <c r="T216" s="180"/>
      <c r="U216" s="122"/>
      <c r="V216" s="122"/>
      <c r="W216" s="122"/>
      <c r="X216" s="122"/>
      <c r="Y216" s="184"/>
      <c r="Z216" s="184"/>
      <c r="AA216" s="184"/>
      <c r="AB216" s="184"/>
      <c r="AC216" s="184"/>
      <c r="AD216" s="184"/>
      <c r="AE216" s="184"/>
      <c r="AF216" s="125" t="str">
        <f t="shared" si="17"/>
        <v/>
      </c>
      <c r="AG216" s="125" t="str">
        <f t="shared" si="18"/>
        <v/>
      </c>
      <c r="AH216" s="125" t="str">
        <f t="shared" si="19"/>
        <v/>
      </c>
      <c r="AI216" s="125" t="str">
        <f t="shared" si="20"/>
        <v/>
      </c>
    </row>
    <row r="217" spans="1:35">
      <c r="A217" s="4">
        <v>213</v>
      </c>
      <c r="B217" s="32" t="s">
        <v>55</v>
      </c>
      <c r="C217" s="34"/>
      <c r="D217" s="37" t="s">
        <v>56</v>
      </c>
      <c r="E217" s="35"/>
      <c r="F217" s="24"/>
      <c r="G217" s="163"/>
      <c r="H217" s="163"/>
      <c r="I217" s="163"/>
      <c r="J217" s="163"/>
      <c r="K217" s="169"/>
      <c r="L217" s="235"/>
      <c r="M217" s="235"/>
      <c r="N217" s="169"/>
      <c r="O217" s="169"/>
      <c r="P217" s="169"/>
      <c r="Q217" s="175"/>
      <c r="R217" s="175"/>
      <c r="S217" s="175"/>
      <c r="T217" s="180"/>
      <c r="U217" s="122"/>
      <c r="V217" s="122"/>
      <c r="W217" s="122"/>
      <c r="X217" s="122"/>
      <c r="Y217" s="184"/>
      <c r="Z217" s="184"/>
      <c r="AA217" s="184"/>
      <c r="AB217" s="184"/>
      <c r="AC217" s="184"/>
      <c r="AD217" s="184"/>
      <c r="AE217" s="184"/>
      <c r="AF217" s="125" t="str">
        <f t="shared" si="17"/>
        <v/>
      </c>
      <c r="AG217" s="125" t="str">
        <f t="shared" si="18"/>
        <v/>
      </c>
      <c r="AH217" s="125" t="str">
        <f t="shared" si="19"/>
        <v/>
      </c>
      <c r="AI217" s="125" t="str">
        <f t="shared" si="20"/>
        <v/>
      </c>
    </row>
    <row r="218" spans="1:35" s="27" customFormat="1">
      <c r="A218" s="4">
        <v>214</v>
      </c>
      <c r="B218" s="32" t="s">
        <v>55</v>
      </c>
      <c r="C218" s="34"/>
      <c r="D218" s="37" t="s">
        <v>56</v>
      </c>
      <c r="E218" s="35"/>
      <c r="F218" s="24" t="str">
        <f>IF(ISBLANK(C218),"",(C218-C217)*$E$4+(E218-E217))</f>
        <v/>
      </c>
      <c r="G218" s="163"/>
      <c r="H218" s="163"/>
      <c r="I218" s="163"/>
      <c r="J218" s="163"/>
      <c r="K218" s="169"/>
      <c r="L218" s="235"/>
      <c r="M218" s="235"/>
      <c r="N218" s="169"/>
      <c r="O218" s="169"/>
      <c r="P218" s="169"/>
      <c r="Q218" s="175"/>
      <c r="R218" s="175"/>
      <c r="S218" s="175"/>
      <c r="T218" s="180"/>
      <c r="U218" s="122"/>
      <c r="V218" s="122"/>
      <c r="W218" s="122"/>
      <c r="X218" s="122"/>
      <c r="Y218" s="184"/>
      <c r="Z218" s="184"/>
      <c r="AA218" s="184"/>
      <c r="AB218" s="184"/>
      <c r="AC218" s="184"/>
      <c r="AD218" s="184"/>
      <c r="AE218" s="184"/>
      <c r="AF218" s="125" t="str">
        <f t="shared" si="17"/>
        <v/>
      </c>
      <c r="AG218" s="125" t="str">
        <f t="shared" si="18"/>
        <v/>
      </c>
      <c r="AH218" s="125" t="str">
        <f t="shared" si="19"/>
        <v/>
      </c>
      <c r="AI218" s="125" t="str">
        <f t="shared" si="20"/>
        <v/>
      </c>
    </row>
  </sheetData>
  <mergeCells count="3">
    <mergeCell ref="A2:A4"/>
    <mergeCell ref="L2:L4"/>
    <mergeCell ref="M2:M4"/>
  </mergeCells>
  <phoneticPr fontId="24"/>
  <printOptions horizontalCentered="1" gridLinesSet="0"/>
  <pageMargins left="0.31496062992125978" right="0.19685039370078741" top="1.023622047244094" bottom="0.31496062992125978" header="0.19685039370078741" footer="0.35433070866141742"/>
  <pageSetup paperSize="9" orientation="portrait" blackAndWhite="1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22"/>
  </sheetPr>
  <dimension ref="A1:E35"/>
  <sheetViews>
    <sheetView topLeftCell="A6" workbookViewId="0">
      <selection activeCell="C29" sqref="C29"/>
    </sheetView>
  </sheetViews>
  <sheetFormatPr defaultRowHeight="12"/>
  <cols>
    <col min="1" max="1" width="8.85546875" style="236" customWidth="1"/>
    <col min="2" max="2" width="9.7109375" style="236" bestFit="1" customWidth="1"/>
    <col min="3" max="3" width="24.28515625" style="236" bestFit="1" customWidth="1"/>
    <col min="4" max="4" width="3.28515625" style="236" customWidth="1"/>
  </cols>
  <sheetData>
    <row r="1" spans="1:5" ht="12.6" customHeight="1" thickBot="1"/>
    <row r="2" spans="1:5" ht="17.25" customHeight="1" thickTop="1" thickBot="1">
      <c r="B2" s="85" t="s">
        <v>133</v>
      </c>
      <c r="C2" s="97">
        <v>2</v>
      </c>
      <c r="D2" s="86"/>
      <c r="E2" s="86"/>
    </row>
    <row r="3" spans="1:5" ht="12.6" customHeight="1" thickTop="1">
      <c r="B3" s="85"/>
      <c r="C3" s="86"/>
      <c r="D3" s="86"/>
      <c r="E3" s="86"/>
    </row>
    <row r="4" spans="1:5" ht="15" customHeight="1">
      <c r="B4" s="85" t="s">
        <v>134</v>
      </c>
      <c r="C4" s="87">
        <f>INDEX(入力!$C$5:$C$78,$C$2)</f>
        <v>0</v>
      </c>
      <c r="D4" s="85" t="s">
        <v>56</v>
      </c>
      <c r="E4" s="88">
        <f>INDEX(入力!$E$5:$E$78,$C$2)</f>
        <v>0</v>
      </c>
    </row>
    <row r="5" spans="1:5" ht="15" customHeight="1">
      <c r="A5" s="50"/>
      <c r="B5" s="281" t="s">
        <v>153</v>
      </c>
      <c r="C5" s="89" t="str">
        <f>IF(入力!G$2="","",入力!G$2)</f>
        <v>オープン掘削</v>
      </c>
      <c r="D5" s="280" t="str">
        <f>IF(ISBLANK(INDEX(入力!$G$5:$G$78,$C$2)),"",INDEX(入力!$G$5:$G$78,$C$2))</f>
        <v/>
      </c>
      <c r="E5" s="266"/>
    </row>
    <row r="6" spans="1:5" ht="15" customHeight="1">
      <c r="A6" s="50"/>
      <c r="B6" s="268"/>
      <c r="C6" s="89"/>
      <c r="D6" s="280"/>
      <c r="E6" s="266"/>
    </row>
    <row r="7" spans="1:5" ht="15" customHeight="1">
      <c r="A7" s="50"/>
      <c r="B7" s="268"/>
      <c r="C7" s="89"/>
      <c r="D7" s="280"/>
      <c r="E7" s="266"/>
    </row>
    <row r="8" spans="1:5" ht="15" customHeight="1">
      <c r="A8" s="50"/>
      <c r="B8" s="269"/>
      <c r="C8" s="89"/>
      <c r="D8" s="280"/>
      <c r="E8" s="266"/>
    </row>
    <row r="9" spans="1:5" ht="15" customHeight="1">
      <c r="A9" s="50"/>
      <c r="B9" s="281" t="s">
        <v>154</v>
      </c>
      <c r="C9" s="90" t="str">
        <f>IF(入力!K$2="","",入力!K$2)</f>
        <v>路体盛土
(W＜2.5m)</v>
      </c>
      <c r="D9" s="274" t="str">
        <f>IF(ISBLANK(INDEX(入力!$K$5:$K$78,$C$2)),"",INDEX(入力!$K$5:$K$78,$C$2))</f>
        <v/>
      </c>
      <c r="E9" s="266"/>
    </row>
    <row r="10" spans="1:5" ht="15" customHeight="1">
      <c r="A10" s="50"/>
      <c r="B10" s="268"/>
      <c r="C10" s="90" t="str">
        <f>IF(入力!N$2="","",入力!N$2)</f>
        <v>路体盛土
(2.5m≦W＜4.0m)</v>
      </c>
      <c r="D10" s="274" t="str">
        <f>IF(ISBLANK(INDEX(入力!$N$5:$N$78,$C$2)),"",INDEX(入力!$N$5:$N$78,$C$2))</f>
        <v/>
      </c>
      <c r="E10" s="266"/>
    </row>
    <row r="11" spans="1:5" ht="15" customHeight="1">
      <c r="A11" s="50"/>
      <c r="B11" s="268"/>
      <c r="C11" s="90" t="str">
        <f>IF(入力!O$2="","",入力!O$2)</f>
        <v>路体盛土
(4.0m≦W)</v>
      </c>
      <c r="D11" s="274" t="str">
        <f>IF(ISBLANK(INDEX(入力!$O$5:$O$78,$C$2)),"",INDEX(入力!$O$5:$O$78,$C$2))</f>
        <v/>
      </c>
      <c r="E11" s="266"/>
    </row>
    <row r="12" spans="1:5" ht="15" customHeight="1">
      <c r="B12" s="269"/>
      <c r="C12" s="90"/>
      <c r="D12" s="274"/>
      <c r="E12" s="266"/>
    </row>
    <row r="13" spans="1:5" ht="15" customHeight="1">
      <c r="B13" s="278" t="s">
        <v>155</v>
      </c>
      <c r="C13" s="91" t="str">
        <f>IF(入力!Q$2="","",入力!Q$2)</f>
        <v>路床盛土
(W＜2.5m)</v>
      </c>
      <c r="D13" s="271" t="str">
        <f>IF(ISBLANK(INDEX(入力!$Q$5:$Q$78,$C$2)),"",INDEX(入力!$Q$5:$Q$78,$C$2))</f>
        <v/>
      </c>
      <c r="E13" s="266"/>
    </row>
    <row r="14" spans="1:5" ht="15" customHeight="1">
      <c r="B14" s="268"/>
      <c r="C14" s="91" t="str">
        <f>IF(入力!R$2="","",入力!R$2)</f>
        <v>路床盛土
(2.5m≦W＜4.0m)</v>
      </c>
      <c r="D14" s="271" t="str">
        <f>IF(ISBLANK(INDEX(入力!$R$5:$R$78,$C$2)),"",INDEX(入力!$R$5:$R$78,$C$2))</f>
        <v/>
      </c>
      <c r="E14" s="266"/>
    </row>
    <row r="15" spans="1:5" ht="15" customHeight="1">
      <c r="B15" s="268"/>
      <c r="C15" s="91" t="str">
        <f>IF(入力!S$2="","",入力!S$2)</f>
        <v>路床盛土
(4.0m≦W)</v>
      </c>
      <c r="D15" s="271" t="str">
        <f>IF(ISBLANK(INDEX(入力!$S$5:$S$78,$C$2)),"",INDEX(入力!$S$5:$S$78,$C$2))</f>
        <v/>
      </c>
      <c r="E15" s="266"/>
    </row>
    <row r="16" spans="1:5" ht="15" customHeight="1">
      <c r="B16" s="269"/>
      <c r="C16" s="91" t="str">
        <f>IF(入力!T$2="","",入力!T$2)</f>
        <v>路肩盛土</v>
      </c>
      <c r="D16" s="271" t="str">
        <f>IF(ISBLANK(INDEX(入力!$T$5:$T$78,$C$2)),"",INDEX(入力!$T$5:$T$78,$C$2))</f>
        <v/>
      </c>
      <c r="E16" s="266"/>
    </row>
    <row r="17" spans="2:5" ht="15" customHeight="1">
      <c r="B17" s="278" t="s">
        <v>156</v>
      </c>
      <c r="C17" s="92" t="str">
        <f>IF(入力!U$2="","",入力!U$2)</f>
        <v>路体外盛土
(W＜2.5m)</v>
      </c>
      <c r="D17" s="275" t="str">
        <f>IF(ISBLANK(INDEX(入力!$U$5:$U$78,$C$2)),"",INDEX(入力!$U$5:$U$78,$C$2))</f>
        <v/>
      </c>
      <c r="E17" s="266"/>
    </row>
    <row r="18" spans="2:5" ht="15" customHeight="1">
      <c r="B18" s="268"/>
      <c r="C18" s="92" t="str">
        <f>IF(入力!V$2="","",入力!V$2)</f>
        <v>路体外盛土
(2.5m≦W＜4.0m)</v>
      </c>
      <c r="D18" s="275" t="str">
        <f>IF(ISBLANK(INDEX(入力!$V$5:$V$78,$C$2)),"",INDEX(入力!$V$5:$V$78,$C$2))</f>
        <v/>
      </c>
      <c r="E18" s="266"/>
    </row>
    <row r="19" spans="2:5" ht="15" customHeight="1">
      <c r="B19" s="268"/>
      <c r="C19" s="92" t="str">
        <f>IF(入力!W$2="","",入力!W$2)</f>
        <v>路体外盛土
(4.0m≦W)</v>
      </c>
      <c r="D19" s="275" t="str">
        <f>IF(ISBLANK(INDEX(入力!$W$5:$W$78,$C$2)),"",INDEX(入力!$W$5:$W$78,$C$2))</f>
        <v/>
      </c>
      <c r="E19" s="266"/>
    </row>
    <row r="20" spans="2:5" ht="15" customHeight="1">
      <c r="B20" s="269"/>
      <c r="C20" s="92" t="str">
        <f>IF(入力!X$2="","",入力!X$2)</f>
        <v>畦畔盛土</v>
      </c>
      <c r="D20" s="275" t="str">
        <f>IF(ISBLANK(INDEX(入力!$X$5:$X$78,$C$2)),"",INDEX(入力!$X$5:$X$78,$C$2))</f>
        <v/>
      </c>
      <c r="E20" s="266"/>
    </row>
    <row r="21" spans="2:5" ht="15" customHeight="1">
      <c r="B21" s="272" t="s">
        <v>157</v>
      </c>
      <c r="C21" s="93" t="str">
        <f>IF(入力!Y$2="","",入力!Y$2)</f>
        <v>切土法面整形(左)</v>
      </c>
      <c r="D21" s="279" t="str">
        <f>IF(ISBLANK(INDEX(入力!$Y$5:$Y$78,$C$2)),"",INDEX(入力!$Y$5:$Y$78,$C$2))</f>
        <v/>
      </c>
      <c r="E21" s="266"/>
    </row>
    <row r="22" spans="2:5" ht="15" customHeight="1">
      <c r="B22" s="268"/>
      <c r="C22" s="93" t="str">
        <f>IF(入力!Z$2="","",入力!Z$2)</f>
        <v>切土法面整形(右)</v>
      </c>
      <c r="D22" s="279" t="str">
        <f>IF(ISBLANK(INDEX(入力!$Z$5:$Z$78,$C$2)),"",INDEX(入力!$Z$5:$Z$78,$C$2))</f>
        <v/>
      </c>
      <c r="E22" s="266"/>
    </row>
    <row r="23" spans="2:5" ht="15" customHeight="1">
      <c r="B23" s="268"/>
      <c r="C23" s="93" t="str">
        <f>IF(入力!AA$2="","",入力!AA$2)</f>
        <v>盛土法面整形(左)</v>
      </c>
      <c r="D23" s="279" t="str">
        <f>IF(ISBLANK(INDEX(入力!$AA$5:$AA$78,$C$2)),"",INDEX(入力!$AA$5:$AA$78,$C$2))</f>
        <v/>
      </c>
      <c r="E23" s="266"/>
    </row>
    <row r="24" spans="2:5" ht="15" customHeight="1">
      <c r="B24" s="269"/>
      <c r="C24" s="93" t="str">
        <f>IF(入力!AB$2="","",入力!AB$2)</f>
        <v>盛土法面整形(右)</v>
      </c>
      <c r="D24" s="279" t="str">
        <f>IF(ISBLANK(INDEX(入力!$AB$5:$AB$78,$C$2)),"",INDEX(入力!$AB$5:$AB$78,$C$2))</f>
        <v/>
      </c>
      <c r="E24" s="266"/>
    </row>
    <row r="25" spans="2:5" ht="15" customHeight="1">
      <c r="B25" s="272" t="s">
        <v>158</v>
      </c>
      <c r="C25" s="94" t="str">
        <f>IF(入力!AC$2="","",入力!AC$2)</f>
        <v>床掘</v>
      </c>
      <c r="D25" s="273" t="str">
        <f>IF(ISBLANK(INDEX(入力!$AC$5:$AC$78,$C$2)),"",INDEX(入力!$AC$5:$AC$78,$C$2))</f>
        <v/>
      </c>
      <c r="E25" s="266"/>
    </row>
    <row r="26" spans="2:5" ht="15" customHeight="1">
      <c r="B26" s="268"/>
      <c r="C26" s="94" t="str">
        <f>IF(入力!AD$2="","",入力!AD$2)</f>
        <v>埋戻(C)</v>
      </c>
      <c r="D26" s="273" t="str">
        <f>IF(ISBLANK(INDEX(入力!$AD$5:$AD$78,$C$2)),"",INDEX(入力!$AD$5:$AD$78,$C$2))</f>
        <v/>
      </c>
      <c r="E26" s="266"/>
    </row>
    <row r="27" spans="2:5" ht="15" customHeight="1">
      <c r="B27" s="268"/>
      <c r="C27" s="94" t="str">
        <f>IF(入力!AE$2="","",入力!AE$2)</f>
        <v>埋戻(D)</v>
      </c>
      <c r="D27" s="273" t="str">
        <f>IF(ISBLANK(INDEX(入力!$AE$5:$AE$78,$C$2)),"",INDEX(入力!$AE$5:$AE$78,$C$2))</f>
        <v/>
      </c>
      <c r="E27" s="266"/>
    </row>
    <row r="28" spans="2:5" ht="15" customHeight="1">
      <c r="B28" s="269"/>
      <c r="C28" s="94"/>
      <c r="D28" s="273"/>
      <c r="E28" s="266"/>
    </row>
    <row r="29" spans="2:5" ht="15" customHeight="1">
      <c r="B29" s="277"/>
      <c r="C29" s="95"/>
      <c r="D29" s="276"/>
      <c r="E29" s="266"/>
    </row>
    <row r="30" spans="2:5" ht="15" customHeight="1">
      <c r="B30" s="268"/>
      <c r="C30" s="95"/>
      <c r="D30" s="276"/>
      <c r="E30" s="266"/>
    </row>
    <row r="31" spans="2:5" ht="15" customHeight="1">
      <c r="B31" s="268"/>
      <c r="C31" s="95"/>
      <c r="D31" s="276"/>
      <c r="E31" s="266"/>
    </row>
    <row r="32" spans="2:5" ht="15" customHeight="1">
      <c r="B32" s="269"/>
      <c r="C32" s="95"/>
      <c r="D32" s="276"/>
      <c r="E32" s="266"/>
    </row>
    <row r="33" spans="4:4">
      <c r="D33" s="50"/>
    </row>
    <row r="34" spans="4:4">
      <c r="D34" s="50"/>
    </row>
    <row r="35" spans="4:4">
      <c r="D35" s="50"/>
    </row>
  </sheetData>
  <mergeCells count="35">
    <mergeCell ref="D6:E6"/>
    <mergeCell ref="B17:B20"/>
    <mergeCell ref="D13:E13"/>
    <mergeCell ref="D11:E11"/>
    <mergeCell ref="D27:E27"/>
    <mergeCell ref="D7:E7"/>
    <mergeCell ref="B9:B12"/>
    <mergeCell ref="D9:E9"/>
    <mergeCell ref="D12:E12"/>
    <mergeCell ref="B5:B8"/>
    <mergeCell ref="D8:E8"/>
    <mergeCell ref="D5:E5"/>
    <mergeCell ref="D20:E20"/>
    <mergeCell ref="D32:E32"/>
    <mergeCell ref="B29:B32"/>
    <mergeCell ref="D17:E17"/>
    <mergeCell ref="B13:B16"/>
    <mergeCell ref="D16:E16"/>
    <mergeCell ref="D28:E28"/>
    <mergeCell ref="D18:E18"/>
    <mergeCell ref="D25:E25"/>
    <mergeCell ref="D30:E30"/>
    <mergeCell ref="D24:E24"/>
    <mergeCell ref="D15:E15"/>
    <mergeCell ref="D29:E29"/>
    <mergeCell ref="D23:E23"/>
    <mergeCell ref="D22:E22"/>
    <mergeCell ref="D31:E31"/>
    <mergeCell ref="D21:E21"/>
    <mergeCell ref="D14:E14"/>
    <mergeCell ref="B25:B28"/>
    <mergeCell ref="D26:E26"/>
    <mergeCell ref="D10:E10"/>
    <mergeCell ref="D19:E19"/>
    <mergeCell ref="B21:B24"/>
  </mergeCells>
  <phoneticPr fontId="24"/>
  <conditionalFormatting sqref="D5:E32">
    <cfRule type="cellIs" dxfId="0" priority="1" stopIfTrue="1" operator="greaterThan">
      <formula>0</formula>
    </cfRule>
  </conditionalFormatting>
  <dataValidations count="1">
    <dataValidation type="whole" showInputMessage="1" showErrorMessage="1" errorTitle="セル番号が範囲外です" error="1から74までを入力してください。" promptTitle="セル番号" prompt="確認する測点のセル番号（1～74）" sqref="C2" xr:uid="{C2F3A9BC-734E-4402-90BF-05A8E127A1C1}">
      <formula1>1</formula1>
      <formula2>74</formula2>
    </dataValidation>
  </dataValidations>
  <pageMargins left="0.75" right="0.75" top="1" bottom="1" header="0.51200000000000001" footer="0.51200000000000001"/>
  <pageSetup paperSize="9" orientation="portrait" copies="0"/>
</worksheet>
</file>

<file path=docMetadata/LabelInfo.xml><?xml version="1.0" encoding="utf-8"?>
<clbl:labelList xmlns:clbl="http://schemas.microsoft.com/office/2020/mipLabelMetadata">
  <clbl:label id="{84033c2b-00f7-40c7-8f48-15b44c4f841c}" enabled="1" method="Privileged" siteId="{615d96c1-231f-40d5-b2ef-46a3c20be1f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63</vt:i4>
      </vt:variant>
    </vt:vector>
  </HeadingPairs>
  <TitlesOfParts>
    <vt:vector size="74" baseType="lpstr">
      <vt:lpstr>集計表</vt:lpstr>
      <vt:lpstr>掘削</vt:lpstr>
      <vt:lpstr>路体</vt:lpstr>
      <vt:lpstr>路床</vt:lpstr>
      <vt:lpstr>路体外</vt:lpstr>
      <vt:lpstr>残土</vt:lpstr>
      <vt:lpstr>法面整形</vt:lpstr>
      <vt:lpstr>作業土工1</vt:lpstr>
      <vt:lpstr>作業土工2</vt:lpstr>
      <vt:lpstr>入力</vt:lpstr>
      <vt:lpstr>チェック</vt:lpstr>
      <vt:lpstr>掘削!_1B</vt:lpstr>
      <vt:lpstr>法面整形!_1B</vt:lpstr>
      <vt:lpstr>路床!_1B</vt:lpstr>
      <vt:lpstr>路体!_1B</vt:lpstr>
      <vt:lpstr>路体外!_1B</vt:lpstr>
      <vt:lpstr>掘削!_1F</vt:lpstr>
      <vt:lpstr>法面整形!_1F</vt:lpstr>
      <vt:lpstr>路床!_1F</vt:lpstr>
      <vt:lpstr>路体!_1F</vt:lpstr>
      <vt:lpstr>路体外!_1F</vt:lpstr>
      <vt:lpstr>掘削!_1P</vt:lpstr>
      <vt:lpstr>法面整形!_1P</vt:lpstr>
      <vt:lpstr>路床!_1P</vt:lpstr>
      <vt:lpstr>路体!_1P</vt:lpstr>
      <vt:lpstr>路体外!_1P</vt:lpstr>
      <vt:lpstr>掘削!_2B</vt:lpstr>
      <vt:lpstr>法面整形!_2B</vt:lpstr>
      <vt:lpstr>路床!_2B</vt:lpstr>
      <vt:lpstr>路体!_2B</vt:lpstr>
      <vt:lpstr>路体外!_2B</vt:lpstr>
      <vt:lpstr>掘削!_2F</vt:lpstr>
      <vt:lpstr>法面整形!_2F</vt:lpstr>
      <vt:lpstr>路床!_2F</vt:lpstr>
      <vt:lpstr>路体!_2F</vt:lpstr>
      <vt:lpstr>路体外!_2F</vt:lpstr>
      <vt:lpstr>掘削!_3F</vt:lpstr>
      <vt:lpstr>法面整形!_3F</vt:lpstr>
      <vt:lpstr>路床!_3F</vt:lpstr>
      <vt:lpstr>路体!_3F</vt:lpstr>
      <vt:lpstr>路体外!_3F</vt:lpstr>
      <vt:lpstr>掘削!_4F</vt:lpstr>
      <vt:lpstr>法面整形!_4F</vt:lpstr>
      <vt:lpstr>路床!_4F</vt:lpstr>
      <vt:lpstr>路体!_4F</vt:lpstr>
      <vt:lpstr>路体外!_4F</vt:lpstr>
      <vt:lpstr>掘削!_Fill</vt:lpstr>
      <vt:lpstr>法面整形!_Fill</vt:lpstr>
      <vt:lpstr>路床!_Fill</vt:lpstr>
      <vt:lpstr>路体!_Fill</vt:lpstr>
      <vt:lpstr>路体外!_Fill</vt:lpstr>
      <vt:lpstr>掘削!AREA</vt:lpstr>
      <vt:lpstr>法面整形!AREA</vt:lpstr>
      <vt:lpstr>路床!AREA</vt:lpstr>
      <vt:lpstr>路体!AREA</vt:lpstr>
      <vt:lpstr>路体外!AREA</vt:lpstr>
      <vt:lpstr>掘削!AREA1</vt:lpstr>
      <vt:lpstr>法面整形!AREA1</vt:lpstr>
      <vt:lpstr>路床!AREA1</vt:lpstr>
      <vt:lpstr>路体!AREA1</vt:lpstr>
      <vt:lpstr>路体外!AREA1</vt:lpstr>
      <vt:lpstr>掘削!Print_Area</vt:lpstr>
      <vt:lpstr>作業土工1!Print_Area</vt:lpstr>
      <vt:lpstr>残土!Print_Area</vt:lpstr>
      <vt:lpstr>法面整形!Print_Area</vt:lpstr>
      <vt:lpstr>路床!Print_Area</vt:lpstr>
      <vt:lpstr>路体!Print_Area</vt:lpstr>
      <vt:lpstr>路体外!Print_Area</vt:lpstr>
      <vt:lpstr>掘削!Print_Area_MI</vt:lpstr>
      <vt:lpstr>法面整形!Print_Area_MI</vt:lpstr>
      <vt:lpstr>路床!Print_Area_MI</vt:lpstr>
      <vt:lpstr>路体!Print_Area_MI</vt:lpstr>
      <vt:lpstr>路体外!Print_Area_MI</vt:lpstr>
      <vt:lpstr>集計表!Print_Titles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本間 京介</dc:creator>
  <cp:lastModifiedBy>Kyosuke Homma</cp:lastModifiedBy>
  <cp:lastPrinted>2025-04-02T03:23:42Z</cp:lastPrinted>
  <dcterms:created xsi:type="dcterms:W3CDTF">1996-12-06T04:41:59Z</dcterms:created>
  <dcterms:modified xsi:type="dcterms:W3CDTF">2026-08-27T23:04:12Z</dcterms:modified>
</cp:coreProperties>
</file>